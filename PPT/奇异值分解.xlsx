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228\Documents\教学\2024秋\线性代数\"/>
    </mc:Choice>
  </mc:AlternateContent>
  <xr:revisionPtr revIDLastSave="0" documentId="8_{0E1B9DA0-9526-43C2-937D-FD3CAA98C4C8}" xr6:coauthVersionLast="36" xr6:coauthVersionMax="36" xr10:uidLastSave="{00000000-0000-0000-0000-000000000000}"/>
  <bookViews>
    <workbookView xWindow="0" yWindow="0" windowWidth="19200" windowHeight="7930" xr2:uid="{18926121-05FE-48CA-9D7B-59E5EF5E6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1" l="1" a="1"/>
  <c r="A14" i="1" s="1"/>
  <c r="A7" i="1" a="1"/>
  <c r="A7" i="1" s="1"/>
  <c r="D17" i="1" l="1"/>
  <c r="D15" i="1"/>
  <c r="C17" i="1"/>
  <c r="C15" i="1"/>
  <c r="B17" i="1"/>
  <c r="B15" i="1"/>
  <c r="A17" i="1"/>
  <c r="A15" i="1"/>
  <c r="D16" i="1"/>
  <c r="D14" i="1"/>
  <c r="C16" i="1"/>
  <c r="C14" i="1"/>
  <c r="B16" i="1"/>
  <c r="B14" i="1"/>
  <c r="A16" i="1"/>
  <c r="B8" i="1"/>
  <c r="A8" i="1"/>
  <c r="E7" i="1"/>
  <c r="C10" i="1"/>
  <c r="E11" i="1"/>
  <c r="D8" i="1"/>
  <c r="A10" i="1"/>
  <c r="C11" i="1"/>
  <c r="D9" i="1"/>
  <c r="A11" i="1"/>
  <c r="D7" i="1"/>
  <c r="E8" i="1"/>
  <c r="B10" i="1"/>
  <c r="D11" i="1"/>
  <c r="C8" i="1"/>
  <c r="E9" i="1"/>
  <c r="B11" i="1"/>
  <c r="C9" i="1"/>
  <c r="E10" i="1"/>
  <c r="B9" i="1"/>
  <c r="D10" i="1"/>
  <c r="A9" i="1"/>
  <c r="C7" i="1"/>
  <c r="B7" i="1"/>
  <c r="H7" i="1" s="1" a="1"/>
  <c r="H14" i="1" l="1" a="1"/>
  <c r="H17" i="1" s="1"/>
  <c r="H7" i="1"/>
  <c r="H9" i="1"/>
  <c r="H8" i="1"/>
  <c r="H11" i="1"/>
  <c r="H10" i="1"/>
  <c r="H15" i="1" l="1"/>
  <c r="H16" i="1"/>
  <c r="H14" i="1"/>
  <c r="H18" i="1"/>
  <c r="H12" i="1"/>
  <c r="I7" i="1" s="1" a="1"/>
  <c r="I7" i="1" l="1"/>
  <c r="I11" i="1"/>
  <c r="I9" i="1"/>
  <c r="I10" i="1"/>
  <c r="I8" i="1"/>
  <c r="I14" i="1" a="1"/>
  <c r="I15" i="1" l="1"/>
  <c r="I17" i="1"/>
  <c r="I14" i="1"/>
  <c r="J14" i="1" s="1" a="1"/>
  <c r="I16" i="1"/>
  <c r="J7" i="1" a="1"/>
  <c r="J8" i="1" l="1"/>
  <c r="J11" i="1"/>
  <c r="J9" i="1"/>
  <c r="J7" i="1"/>
  <c r="J10" i="1"/>
  <c r="J16" i="1"/>
  <c r="J17" i="1"/>
  <c r="J15" i="1"/>
  <c r="J14" i="1"/>
  <c r="J12" i="1" l="1"/>
  <c r="K7" i="1" s="1" a="1"/>
  <c r="J18" i="1"/>
  <c r="K7" i="1" l="1"/>
  <c r="K8" i="1"/>
  <c r="K11" i="1"/>
  <c r="K10" i="1"/>
  <c r="K14" i="1" a="1"/>
  <c r="K9" i="1"/>
  <c r="L7" i="1" l="1" a="1"/>
  <c r="L11" i="1" s="1"/>
  <c r="K15" i="1"/>
  <c r="K14" i="1"/>
  <c r="K17" i="1"/>
  <c r="K16" i="1"/>
  <c r="L8" i="1" l="1"/>
  <c r="L12" i="1" s="1"/>
  <c r="M7" i="1" s="1" a="1"/>
  <c r="L7" i="1"/>
  <c r="L10" i="1"/>
  <c r="L9" i="1"/>
  <c r="L14" i="1" a="1"/>
  <c r="L16" i="1" l="1"/>
  <c r="L14" i="1"/>
  <c r="L15" i="1"/>
  <c r="L17" i="1"/>
  <c r="M11" i="1"/>
  <c r="M8" i="1"/>
  <c r="M10" i="1"/>
  <c r="M7" i="1"/>
  <c r="M9" i="1"/>
  <c r="N7" i="1" l="1" a="1"/>
  <c r="N8" i="1" s="1"/>
  <c r="L18" i="1"/>
  <c r="M14" i="1" s="1" a="1"/>
  <c r="N7" i="1" l="1"/>
  <c r="N10" i="1"/>
  <c r="N9" i="1"/>
  <c r="N11" i="1"/>
  <c r="M15" i="1"/>
  <c r="M17" i="1"/>
  <c r="M14" i="1"/>
  <c r="M16" i="1"/>
  <c r="N12" i="1" l="1"/>
  <c r="O7" i="1" s="1" a="1"/>
  <c r="N14" i="1" a="1"/>
  <c r="O9" i="1" l="1"/>
  <c r="O8" i="1"/>
  <c r="O7" i="1"/>
  <c r="P7" i="1" s="1" a="1"/>
  <c r="P10" i="1" s="1"/>
  <c r="O11" i="1"/>
  <c r="O10" i="1"/>
  <c r="N15" i="1"/>
  <c r="N14" i="1"/>
  <c r="N17" i="1"/>
  <c r="N16" i="1"/>
  <c r="P8" i="1" l="1"/>
  <c r="P7" i="1"/>
  <c r="P11" i="1"/>
  <c r="P9" i="1"/>
  <c r="N18" i="1"/>
  <c r="O14" i="1" s="1" a="1"/>
  <c r="P12" i="1"/>
  <c r="Q7" i="1" s="1" a="1"/>
  <c r="O14" i="1" l="1"/>
  <c r="O17" i="1"/>
  <c r="O15" i="1"/>
  <c r="O16" i="1"/>
  <c r="Q7" i="1"/>
  <c r="Q11" i="1"/>
  <c r="Q9" i="1"/>
  <c r="Q8" i="1"/>
  <c r="Q10" i="1"/>
  <c r="P14" i="1" l="1" a="1"/>
  <c r="R7" i="1" a="1"/>
  <c r="P17" i="1" l="1"/>
  <c r="P16" i="1"/>
  <c r="P14" i="1"/>
  <c r="P15" i="1"/>
  <c r="R11" i="1"/>
  <c r="R10" i="1"/>
  <c r="R7" i="1"/>
  <c r="R8" i="1"/>
  <c r="R9" i="1"/>
  <c r="P18" i="1" l="1"/>
  <c r="R12" i="1"/>
  <c r="S7" i="1" s="1" a="1"/>
  <c r="Q14" i="1" l="1" a="1"/>
  <c r="Q15" i="1" s="1"/>
  <c r="S11" i="1"/>
  <c r="S10" i="1"/>
  <c r="S7" i="1"/>
  <c r="S8" i="1"/>
  <c r="S9" i="1"/>
  <c r="T7" i="1" l="1" a="1"/>
  <c r="T11" i="1" s="1"/>
  <c r="Q16" i="1"/>
  <c r="Q17" i="1"/>
  <c r="Q14" i="1"/>
  <c r="R14" i="1" s="1" a="1"/>
  <c r="T9" i="1" l="1"/>
  <c r="T8" i="1"/>
  <c r="T10" i="1"/>
  <c r="R14" i="1"/>
  <c r="R15" i="1"/>
  <c r="R17" i="1"/>
  <c r="R16" i="1"/>
  <c r="T7" i="1"/>
  <c r="T12" i="1" s="1"/>
  <c r="U7" i="1" s="1" a="1"/>
  <c r="U7" i="1" l="1"/>
  <c r="U9" i="1"/>
  <c r="U8" i="1"/>
  <c r="U11" i="1"/>
  <c r="R18" i="1"/>
  <c r="S14" i="1" s="1" a="1"/>
  <c r="U10" i="1"/>
  <c r="V7" i="1" l="1" a="1"/>
  <c r="V8" i="1" s="1"/>
  <c r="S14" i="1"/>
  <c r="S17" i="1"/>
  <c r="S15" i="1"/>
  <c r="S16" i="1"/>
  <c r="V9" i="1" l="1"/>
  <c r="V7" i="1"/>
  <c r="V10" i="1"/>
  <c r="V11" i="1"/>
  <c r="T14" i="1" a="1"/>
  <c r="V12" i="1"/>
  <c r="W7" i="1" s="1" a="1"/>
  <c r="W8" i="1" s="1"/>
  <c r="T15" i="1" l="1"/>
  <c r="T14" i="1"/>
  <c r="T16" i="1"/>
  <c r="T17" i="1"/>
  <c r="W10" i="1"/>
  <c r="W7" i="1"/>
  <c r="W9" i="1"/>
  <c r="W11" i="1"/>
  <c r="T18" i="1" l="1"/>
  <c r="X7" i="1" a="1"/>
  <c r="U14" i="1" l="1" a="1"/>
  <c r="X11" i="1"/>
  <c r="X9" i="1"/>
  <c r="X10" i="1"/>
  <c r="X7" i="1"/>
  <c r="X8" i="1"/>
  <c r="U14" i="1" l="1"/>
  <c r="U15" i="1"/>
  <c r="U16" i="1"/>
  <c r="U17" i="1"/>
  <c r="X12" i="1"/>
  <c r="Y7" i="1" s="1" a="1"/>
  <c r="V14" i="1" l="1" a="1"/>
  <c r="V16" i="1"/>
  <c r="V15" i="1"/>
  <c r="V17" i="1"/>
  <c r="V14" i="1"/>
  <c r="V18" i="1" s="1"/>
  <c r="W14" i="1" s="1" a="1"/>
  <c r="Y11" i="1"/>
  <c r="Y8" i="1"/>
  <c r="Y9" i="1"/>
  <c r="Y7" i="1"/>
  <c r="Y10" i="1"/>
  <c r="Z7" i="1" l="1" a="1"/>
  <c r="Z11" i="1" s="1"/>
  <c r="W14" i="1"/>
  <c r="W17" i="1"/>
  <c r="W15" i="1"/>
  <c r="W16" i="1"/>
  <c r="Z10" i="1"/>
  <c r="Z8" i="1"/>
  <c r="Z7" i="1"/>
  <c r="Z9" i="1"/>
  <c r="X14" i="1" l="1" a="1"/>
  <c r="Z12" i="1"/>
  <c r="AA7" i="1" s="1" a="1"/>
  <c r="AA10" i="1" s="1"/>
  <c r="X14" i="1" l="1"/>
  <c r="X17" i="1"/>
  <c r="X15" i="1"/>
  <c r="X16" i="1"/>
  <c r="AA7" i="1"/>
  <c r="AA9" i="1"/>
  <c r="AA8" i="1"/>
  <c r="AA11" i="1"/>
  <c r="X18" i="1" l="1"/>
  <c r="Y14" i="1" s="1" a="1"/>
  <c r="AB7" i="1" a="1"/>
  <c r="Y17" i="1" l="1"/>
  <c r="Y14" i="1"/>
  <c r="Y15" i="1"/>
  <c r="Y16" i="1"/>
  <c r="AB11" i="1"/>
  <c r="AB7" i="1"/>
  <c r="AB8" i="1"/>
  <c r="AB9" i="1"/>
  <c r="AB10" i="1"/>
  <c r="Z14" i="1" l="1" a="1"/>
  <c r="AB12" i="1"/>
  <c r="AC7" i="1" s="1" a="1"/>
  <c r="AC11" i="1" s="1"/>
  <c r="AC8" i="1" l="1"/>
  <c r="Z17" i="1"/>
  <c r="Z16" i="1"/>
  <c r="Z15" i="1"/>
  <c r="Z14" i="1"/>
  <c r="Z18" i="1" s="1"/>
  <c r="AA14" i="1" s="1" a="1"/>
  <c r="AC9" i="1"/>
  <c r="AC7" i="1"/>
  <c r="AC10" i="1"/>
  <c r="AA14" i="1" l="1"/>
  <c r="AA15" i="1"/>
  <c r="AA16" i="1"/>
  <c r="AA17" i="1"/>
  <c r="AD7" i="1" a="1"/>
  <c r="AD11" i="1" s="1"/>
  <c r="AD9" i="1" l="1"/>
  <c r="AD8" i="1"/>
  <c r="AD10" i="1"/>
  <c r="AD7" i="1"/>
  <c r="AB14" i="1" a="1"/>
  <c r="AD12" i="1"/>
  <c r="AE7" i="1" s="1" a="1"/>
  <c r="AB16" i="1" l="1"/>
  <c r="AB17" i="1"/>
  <c r="AB14" i="1"/>
  <c r="AB15" i="1"/>
  <c r="AE10" i="1"/>
  <c r="AE7" i="1"/>
  <c r="AE8" i="1"/>
  <c r="AE11" i="1"/>
  <c r="AE9" i="1"/>
  <c r="AB18" i="1" l="1"/>
  <c r="AC14" i="1" s="1" a="1"/>
  <c r="AF7" i="1" a="1"/>
  <c r="AC14" i="1" l="1"/>
  <c r="AC16" i="1"/>
  <c r="AC17" i="1"/>
  <c r="AC15" i="1"/>
  <c r="AD14" i="1" s="1" a="1"/>
  <c r="AF11" i="1"/>
  <c r="AF9" i="1"/>
  <c r="AF10" i="1"/>
  <c r="AF7" i="1"/>
  <c r="AF8" i="1"/>
  <c r="AD14" i="1" l="1"/>
  <c r="AD17" i="1"/>
  <c r="AD16" i="1"/>
  <c r="AD15" i="1"/>
  <c r="AF12" i="1"/>
  <c r="AD18" i="1" l="1"/>
  <c r="AE14" i="1" s="1" a="1"/>
  <c r="AG7" i="1" a="1"/>
  <c r="AG7" i="1" s="1"/>
  <c r="AG8" i="1" l="1"/>
  <c r="AG11" i="1"/>
  <c r="AG10" i="1"/>
  <c r="AG9" i="1"/>
  <c r="AH7" i="1" s="1" a="1"/>
  <c r="AE14" i="1"/>
  <c r="AE17" i="1"/>
  <c r="AE16" i="1"/>
  <c r="AE15" i="1"/>
  <c r="AF14" i="1" s="1" a="1"/>
  <c r="AH9" i="1" l="1"/>
  <c r="AH7" i="1"/>
  <c r="AH10" i="1"/>
  <c r="AH11" i="1"/>
  <c r="AH8" i="1"/>
  <c r="AH12" i="1" s="1"/>
  <c r="AI7" i="1" s="1" a="1"/>
  <c r="AF16" i="1"/>
  <c r="AF17" i="1"/>
  <c r="AF15" i="1"/>
  <c r="AF14" i="1"/>
  <c r="AF18" i="1" l="1"/>
  <c r="AG14" i="1" s="1" a="1"/>
  <c r="AI11" i="1"/>
  <c r="AI9" i="1"/>
  <c r="AI7" i="1"/>
  <c r="AI8" i="1"/>
  <c r="AI10" i="1"/>
  <c r="AG14" i="1" l="1"/>
  <c r="AG16" i="1"/>
  <c r="AG17" i="1"/>
  <c r="AG15" i="1"/>
  <c r="AJ7" i="1" a="1"/>
  <c r="AH14" i="1" l="1" a="1"/>
  <c r="AJ8" i="1"/>
  <c r="AJ11" i="1"/>
  <c r="AJ9" i="1"/>
  <c r="AJ10" i="1"/>
  <c r="AJ7" i="1"/>
  <c r="AH17" i="1" l="1"/>
  <c r="AH14" i="1"/>
  <c r="AH16" i="1"/>
  <c r="AH15" i="1"/>
  <c r="AJ12" i="1"/>
  <c r="AK7" i="1" s="1" a="1"/>
  <c r="AH18" i="1" l="1"/>
  <c r="AI14" i="1" s="1" a="1"/>
  <c r="AK9" i="1"/>
  <c r="AK8" i="1"/>
  <c r="AK7" i="1"/>
  <c r="AK11" i="1"/>
  <c r="AK10" i="1"/>
  <c r="AI14" i="1" l="1"/>
  <c r="AI16" i="1"/>
  <c r="AI15" i="1"/>
  <c r="AI17" i="1"/>
  <c r="AL7" i="1" a="1"/>
  <c r="AJ14" i="1" l="1" a="1"/>
  <c r="AL9" i="1"/>
  <c r="AL8" i="1"/>
  <c r="AL7" i="1"/>
  <c r="AL10" i="1"/>
  <c r="AL11" i="1"/>
  <c r="AJ17" i="1" l="1"/>
  <c r="AJ15" i="1"/>
  <c r="AJ14" i="1"/>
  <c r="AJ16" i="1"/>
  <c r="AL12" i="1"/>
  <c r="AJ18" i="1" l="1"/>
  <c r="AK14" i="1" s="1" a="1"/>
  <c r="AM7" i="1" a="1"/>
  <c r="AM11" i="1" s="1"/>
  <c r="AM8" i="1" l="1"/>
  <c r="G20" i="1" s="1"/>
  <c r="AM9" i="1"/>
  <c r="AM7" i="1"/>
  <c r="G21" i="1" s="1"/>
  <c r="H20" i="1" s="1" a="1"/>
  <c r="AK17" i="1"/>
  <c r="AK14" i="1"/>
  <c r="AL14" i="1" s="1" a="1"/>
  <c r="AK15" i="1"/>
  <c r="AK16" i="1"/>
  <c r="AM10" i="1"/>
  <c r="AL15" i="1" l="1"/>
  <c r="AL14" i="1"/>
  <c r="AL17" i="1"/>
  <c r="AL16" i="1"/>
  <c r="H20" i="1"/>
  <c r="H23" i="1"/>
  <c r="H21" i="1"/>
  <c r="H24" i="1"/>
  <c r="H22" i="1"/>
  <c r="H27" i="1" l="1"/>
  <c r="AL18" i="1"/>
  <c r="AM14" i="1" s="1" a="1"/>
  <c r="H25" i="1"/>
  <c r="I20" i="1" s="1" a="1"/>
  <c r="AM15" i="1" l="1"/>
  <c r="AM14" i="1"/>
  <c r="AM17" i="1"/>
  <c r="AM16" i="1"/>
  <c r="I23" i="1"/>
  <c r="I21" i="1"/>
  <c r="I24" i="1"/>
  <c r="I22" i="1"/>
  <c r="I20" i="1"/>
  <c r="J20" i="1" l="1" a="1"/>
  <c r="I27" i="1"/>
  <c r="J20" i="1" l="1"/>
  <c r="J22" i="1"/>
  <c r="J21" i="1"/>
  <c r="J23" i="1"/>
  <c r="J24" i="1"/>
  <c r="K20" i="1" l="1" a="1"/>
  <c r="J27" i="1"/>
  <c r="K20" i="1" l="1"/>
  <c r="K24" i="1"/>
  <c r="K23" i="1"/>
  <c r="K22" i="1"/>
  <c r="K21" i="1"/>
  <c r="K27" i="1" l="1"/>
  <c r="K25" i="1"/>
  <c r="L20" i="1" s="1" a="1"/>
  <c r="L24" i="1" l="1"/>
  <c r="L23" i="1"/>
  <c r="L20" i="1"/>
  <c r="L21" i="1"/>
  <c r="L22" i="1"/>
  <c r="M20" i="1" l="1" a="1"/>
  <c r="L27" i="1"/>
  <c r="M21" i="1" l="1"/>
  <c r="M23" i="1"/>
  <c r="M20" i="1"/>
  <c r="M24" i="1"/>
  <c r="M22" i="1"/>
  <c r="M27" i="1" l="1"/>
  <c r="N20" i="1" a="1"/>
  <c r="N23" i="1" l="1"/>
  <c r="N20" i="1"/>
  <c r="N22" i="1"/>
  <c r="N21" i="1"/>
  <c r="N24" i="1"/>
  <c r="N27" i="1" l="1"/>
  <c r="N25" i="1"/>
  <c r="O20" i="1" s="1" a="1"/>
  <c r="O24" i="1" l="1"/>
  <c r="O20" i="1"/>
  <c r="O22" i="1"/>
  <c r="O21" i="1"/>
  <c r="O23" i="1"/>
  <c r="P20" i="1" l="1" a="1"/>
  <c r="O27" i="1"/>
  <c r="P24" i="1" l="1"/>
  <c r="P23" i="1"/>
  <c r="P22" i="1"/>
  <c r="P21" i="1"/>
  <c r="P20" i="1"/>
  <c r="Q20" i="1" l="1" a="1"/>
  <c r="P27" i="1"/>
  <c r="Q23" i="1" l="1"/>
  <c r="Q21" i="1"/>
  <c r="Q22" i="1"/>
  <c r="Q24" i="1"/>
  <c r="Q20" i="1"/>
  <c r="Q27" i="1" l="1"/>
  <c r="Q25" i="1"/>
  <c r="R20" i="1" s="1" a="1"/>
  <c r="R23" i="1" l="1"/>
  <c r="R21" i="1"/>
  <c r="R24" i="1"/>
  <c r="R22" i="1"/>
  <c r="R20" i="1"/>
  <c r="R27" i="1" l="1"/>
  <c r="S20" i="1" a="1"/>
  <c r="S24" i="1" l="1"/>
  <c r="S23" i="1"/>
  <c r="S20" i="1"/>
  <c r="S21" i="1"/>
  <c r="S22" i="1"/>
  <c r="S27" i="1" l="1"/>
  <c r="T20" i="1" a="1"/>
  <c r="T22" i="1" l="1"/>
  <c r="T24" i="1"/>
  <c r="T20" i="1"/>
  <c r="T21" i="1"/>
  <c r="T23" i="1"/>
  <c r="T25" i="1" l="1"/>
  <c r="U20" i="1" s="1" a="1"/>
  <c r="T27" i="1"/>
  <c r="U24" i="1" l="1"/>
  <c r="U21" i="1"/>
  <c r="U20" i="1"/>
  <c r="U22" i="1"/>
  <c r="U23" i="1"/>
  <c r="V20" i="1" l="1" a="1"/>
  <c r="U27" i="1"/>
  <c r="V21" i="1" l="1"/>
  <c r="V20" i="1"/>
  <c r="V24" i="1"/>
  <c r="V22" i="1"/>
  <c r="V23" i="1"/>
  <c r="W20" i="1" l="1" a="1"/>
  <c r="V27" i="1"/>
  <c r="W22" i="1" l="1"/>
  <c r="W21" i="1"/>
  <c r="W20" i="1"/>
  <c r="W23" i="1"/>
  <c r="W24" i="1"/>
  <c r="W25" i="1" l="1"/>
  <c r="X20" i="1" s="1" a="1"/>
  <c r="W27" i="1"/>
  <c r="X24" i="1" l="1"/>
  <c r="X23" i="1"/>
  <c r="X20" i="1"/>
  <c r="X21" i="1"/>
  <c r="X22" i="1"/>
  <c r="Y20" i="1" l="1" a="1"/>
  <c r="X27" i="1"/>
  <c r="Y23" i="1" l="1"/>
  <c r="Y24" i="1"/>
  <c r="Y21" i="1"/>
  <c r="Y22" i="1"/>
  <c r="Y20" i="1"/>
  <c r="Y27" i="1" l="1"/>
  <c r="Z20" i="1" a="1"/>
  <c r="Z20" i="1" l="1"/>
  <c r="Z24" i="1"/>
  <c r="Z22" i="1"/>
  <c r="Z21" i="1"/>
  <c r="Z23" i="1"/>
  <c r="Z25" i="1" l="1"/>
  <c r="AA20" i="1" s="1" a="1"/>
  <c r="Z27" i="1"/>
  <c r="AA22" i="1" l="1"/>
  <c r="AA23" i="1"/>
  <c r="AA21" i="1"/>
  <c r="AA24" i="1"/>
  <c r="AA20" i="1"/>
  <c r="AA27" i="1" l="1"/>
  <c r="AB20" i="1" a="1"/>
  <c r="AB24" i="1" l="1"/>
  <c r="AB21" i="1"/>
  <c r="AB23" i="1"/>
  <c r="AB22" i="1"/>
  <c r="AB20" i="1"/>
  <c r="AB27" i="1" l="1"/>
  <c r="AC20" i="1" a="1"/>
  <c r="AC23" i="1" l="1"/>
  <c r="AC24" i="1"/>
  <c r="AC22" i="1"/>
  <c r="AC21" i="1"/>
  <c r="AC20" i="1"/>
  <c r="AC27" i="1" l="1"/>
  <c r="AC25" i="1"/>
  <c r="AD20" i="1" s="1" a="1"/>
  <c r="AD24" i="1" l="1"/>
  <c r="AD23" i="1"/>
  <c r="AD20" i="1"/>
  <c r="AD22" i="1"/>
  <c r="AD21" i="1"/>
  <c r="AD27" i="1" l="1"/>
  <c r="AE20" i="1" a="1"/>
  <c r="AE22" i="1" l="1"/>
  <c r="AE21" i="1"/>
  <c r="AE20" i="1"/>
  <c r="AE24" i="1"/>
  <c r="AE23" i="1"/>
  <c r="AE27" i="1" l="1"/>
  <c r="AF20" i="1" a="1"/>
  <c r="AF24" i="1" l="1"/>
  <c r="AF23" i="1"/>
  <c r="AF22" i="1"/>
  <c r="AF20" i="1"/>
  <c r="AF21" i="1"/>
  <c r="AF27" i="1" l="1"/>
  <c r="AF25" i="1"/>
  <c r="AG20" i="1" s="1" a="1"/>
  <c r="AG24" i="1" l="1"/>
  <c r="AG20" i="1"/>
  <c r="AG21" i="1"/>
  <c r="AG22" i="1"/>
  <c r="AG23" i="1"/>
  <c r="AH20" i="1" l="1" a="1"/>
  <c r="AG27" i="1"/>
  <c r="AH24" i="1" l="1"/>
  <c r="AH23" i="1"/>
  <c r="AH21" i="1"/>
  <c r="AH22" i="1"/>
  <c r="AH20" i="1"/>
  <c r="AI20" i="1" l="1" a="1"/>
  <c r="AH27" i="1"/>
  <c r="AI20" i="1" l="1"/>
  <c r="AI24" i="1"/>
  <c r="AI23" i="1"/>
  <c r="AI21" i="1"/>
  <c r="AI22" i="1"/>
  <c r="AI27" i="1" l="1"/>
  <c r="AI25" i="1"/>
  <c r="AJ20" i="1" s="1" a="1"/>
  <c r="AJ24" i="1" l="1"/>
  <c r="AJ23" i="1"/>
  <c r="AJ22" i="1"/>
  <c r="AJ20" i="1"/>
  <c r="AJ21" i="1"/>
  <c r="AJ27" i="1" l="1"/>
  <c r="AK20" i="1" a="1"/>
  <c r="AK20" i="1" l="1"/>
  <c r="AK24" i="1"/>
  <c r="AK21" i="1"/>
  <c r="AK23" i="1"/>
  <c r="AK22" i="1"/>
  <c r="AK27" i="1" l="1"/>
  <c r="AL20" i="1" a="1"/>
  <c r="AL21" i="1" l="1"/>
  <c r="AL20" i="1"/>
  <c r="AL24" i="1"/>
  <c r="AL23" i="1"/>
  <c r="AL22" i="1"/>
  <c r="AL27" i="1" l="1"/>
  <c r="AL25" i="1"/>
  <c r="AM20" i="1" s="1" a="1"/>
  <c r="AM24" i="1" l="1"/>
  <c r="AM21" i="1"/>
  <c r="AM22" i="1"/>
  <c r="AM20" i="1"/>
  <c r="AM23" i="1"/>
  <c r="AN20" i="1" l="1" a="1"/>
  <c r="AM27" i="1"/>
  <c r="AN21" i="1" l="1"/>
  <c r="AN20" i="1"/>
  <c r="AN23" i="1"/>
  <c r="AN22" i="1"/>
  <c r="AN24" i="1"/>
  <c r="AO20" i="1" l="1" a="1"/>
  <c r="AN27" i="1"/>
  <c r="AO23" i="1" l="1"/>
  <c r="AO22" i="1"/>
  <c r="AO24" i="1"/>
  <c r="AO21" i="1"/>
  <c r="AO20" i="1"/>
  <c r="AO27" i="1" l="1"/>
  <c r="AO25" i="1"/>
  <c r="AP20" i="1" s="1" a="1"/>
  <c r="AP24" i="1" l="1"/>
  <c r="AP23" i="1"/>
  <c r="AP22" i="1"/>
  <c r="AP20" i="1"/>
  <c r="AP21" i="1"/>
  <c r="AQ20" i="1" l="1" a="1"/>
  <c r="AP27" i="1"/>
  <c r="AQ23" i="1" l="1"/>
  <c r="AQ21" i="1"/>
  <c r="AQ24" i="1"/>
  <c r="AQ20" i="1"/>
  <c r="AQ22" i="1"/>
  <c r="AQ27" i="1" l="1"/>
  <c r="AR20" i="1" a="1"/>
  <c r="AR22" i="1" l="1"/>
  <c r="AR24" i="1"/>
  <c r="AR20" i="1"/>
  <c r="AR21" i="1"/>
  <c r="AR23" i="1"/>
  <c r="AR27" i="1" l="1"/>
  <c r="AR25" i="1"/>
  <c r="AS20" i="1" s="1" a="1"/>
  <c r="AS24" i="1" l="1"/>
  <c r="AS20" i="1"/>
  <c r="AS21" i="1"/>
  <c r="AS22" i="1"/>
  <c r="AS23" i="1"/>
  <c r="AS27" i="1" l="1"/>
  <c r="AT20" i="1" a="1"/>
  <c r="AT21" i="1" l="1"/>
  <c r="AT20" i="1"/>
  <c r="AT24" i="1"/>
  <c r="AT23" i="1"/>
  <c r="AT22" i="1"/>
  <c r="AU20" i="1" l="1" a="1"/>
  <c r="AT27" i="1"/>
  <c r="AU23" i="1" l="1"/>
  <c r="AU22" i="1"/>
  <c r="AU24" i="1"/>
  <c r="AU21" i="1"/>
  <c r="AU20" i="1"/>
  <c r="AU27" i="1" l="1"/>
  <c r="AU25" i="1"/>
  <c r="AV20" i="1" s="1" a="1"/>
  <c r="AV24" i="1" l="1"/>
  <c r="AV23" i="1"/>
  <c r="AV22" i="1"/>
  <c r="AV20" i="1"/>
  <c r="AV21" i="1"/>
  <c r="AV27" i="1" l="1"/>
  <c r="AW20" i="1" a="1"/>
  <c r="AW24" i="1" l="1"/>
  <c r="AW22" i="1"/>
  <c r="AW21" i="1"/>
  <c r="AW23" i="1"/>
  <c r="AW20" i="1"/>
  <c r="AW27" i="1" l="1"/>
  <c r="AX20" i="1" a="1"/>
  <c r="AX20" i="1" l="1"/>
  <c r="AX24" i="1"/>
  <c r="AX23" i="1"/>
  <c r="AX22" i="1"/>
  <c r="AX21" i="1"/>
  <c r="AX27" i="1" l="1"/>
  <c r="AX25" i="1"/>
  <c r="AY20" i="1" s="1" a="1"/>
  <c r="AY24" i="1" l="1"/>
  <c r="AY20" i="1"/>
  <c r="AY21" i="1"/>
  <c r="AY22" i="1"/>
  <c r="AY23" i="1"/>
  <c r="AY27" i="1" l="1"/>
  <c r="AZ20" i="1" a="1"/>
  <c r="AZ20" i="1" l="1"/>
  <c r="AZ24" i="1"/>
  <c r="AZ23" i="1"/>
  <c r="AZ22" i="1"/>
  <c r="AZ21" i="1"/>
  <c r="BA20" i="1" l="1" a="1"/>
  <c r="AZ27" i="1"/>
  <c r="BA20" i="1" l="1"/>
  <c r="BA22" i="1"/>
  <c r="BA24" i="1"/>
  <c r="BA21" i="1"/>
  <c r="BA23" i="1"/>
  <c r="BA27" i="1" l="1"/>
  <c r="BA25" i="1"/>
  <c r="BB20" i="1" s="1" a="1"/>
  <c r="BB24" i="1" l="1"/>
  <c r="BB23" i="1"/>
  <c r="BB22" i="1"/>
  <c r="BB20" i="1"/>
  <c r="BB21" i="1"/>
  <c r="BB27" i="1" l="1"/>
  <c r="BC20" i="1" a="1"/>
  <c r="BC24" i="1" l="1"/>
  <c r="BC23" i="1"/>
  <c r="BC20" i="1"/>
  <c r="BC22" i="1"/>
  <c r="BC21" i="1"/>
  <c r="BC27" i="1" l="1"/>
  <c r="BD20" i="1" a="1"/>
  <c r="BD21" i="1" l="1"/>
  <c r="BD23" i="1"/>
  <c r="BD22" i="1"/>
  <c r="BD20" i="1"/>
  <c r="BD24" i="1"/>
  <c r="BD27" i="1" l="1"/>
  <c r="BD25" i="1"/>
  <c r="BE20" i="1" s="1" a="1"/>
  <c r="BE24" i="1" l="1"/>
  <c r="BE21" i="1"/>
  <c r="BE22" i="1"/>
  <c r="BE20" i="1"/>
  <c r="BE23" i="1"/>
  <c r="BF20" i="1" l="1" a="1"/>
  <c r="BE27" i="1"/>
  <c r="BF24" i="1" l="1"/>
  <c r="BF20" i="1"/>
  <c r="BF21" i="1"/>
  <c r="BF22" i="1"/>
  <c r="BF23" i="1"/>
  <c r="BF27" i="1" l="1"/>
  <c r="BG20" i="1" a="1"/>
  <c r="BG20" i="1" l="1"/>
  <c r="BG22" i="1"/>
  <c r="BG23" i="1"/>
  <c r="BG21" i="1"/>
  <c r="BG24" i="1"/>
  <c r="BG27" i="1" l="1"/>
  <c r="BG25" i="1"/>
  <c r="BH20" i="1" s="1" a="1"/>
  <c r="BH24" i="1" l="1"/>
  <c r="BH21" i="1"/>
  <c r="BH22" i="1"/>
  <c r="BH20" i="1"/>
  <c r="BH23" i="1"/>
  <c r="BH27" i="1" l="1"/>
  <c r="BI20" i="1" a="1"/>
  <c r="BI24" i="1" l="1"/>
  <c r="BI23" i="1"/>
  <c r="BI22" i="1"/>
  <c r="BI21" i="1"/>
  <c r="BI20" i="1"/>
  <c r="BI27" i="1" l="1"/>
  <c r="BJ20" i="1" a="1"/>
  <c r="BJ21" i="1" l="1"/>
  <c r="BJ20" i="1"/>
  <c r="BJ23" i="1"/>
  <c r="BJ22" i="1"/>
  <c r="BJ24" i="1"/>
  <c r="BJ27" i="1" l="1"/>
  <c r="BJ25" i="1"/>
  <c r="BK20" i="1" s="1" a="1"/>
  <c r="BK20" i="1" l="1"/>
  <c r="BK23" i="1"/>
  <c r="BK24" i="1"/>
  <c r="BK21" i="1"/>
  <c r="BK22" i="1"/>
  <c r="BK27" i="1" l="1"/>
  <c r="BL20" i="1" a="1"/>
  <c r="BL21" i="1" l="1"/>
  <c r="BL20" i="1"/>
  <c r="BL23" i="1"/>
  <c r="BL24" i="1"/>
  <c r="BL22" i="1"/>
  <c r="BL27" i="1" l="1"/>
  <c r="BM20" i="1" a="1"/>
  <c r="BM23" i="1" l="1"/>
  <c r="BM22" i="1"/>
  <c r="BM21" i="1"/>
  <c r="BM20" i="1"/>
  <c r="BM24" i="1"/>
  <c r="BM27" i="1" l="1"/>
  <c r="BM25" i="1"/>
  <c r="BN20" i="1" s="1" a="1"/>
  <c r="BN23" i="1" l="1"/>
  <c r="BN21" i="1"/>
  <c r="BN20" i="1"/>
  <c r="BN22" i="1"/>
  <c r="BN24" i="1"/>
  <c r="BO20" i="1" l="1" a="1"/>
  <c r="BN27" i="1"/>
  <c r="BO24" i="1" l="1"/>
  <c r="BO23" i="1"/>
  <c r="BO22" i="1"/>
  <c r="BO21" i="1"/>
  <c r="BO20" i="1"/>
  <c r="BO27" i="1" l="1"/>
  <c r="BP20" i="1" a="1"/>
  <c r="BP20" i="1" l="1"/>
  <c r="BP24" i="1"/>
  <c r="BP23" i="1"/>
  <c r="BP22" i="1"/>
  <c r="BP21" i="1"/>
  <c r="BP25" i="1" l="1"/>
  <c r="BP27" i="1"/>
  <c r="BQ20" i="1" a="1"/>
  <c r="BQ23" i="1" l="1"/>
  <c r="BQ24" i="1"/>
  <c r="BQ21" i="1"/>
  <c r="BQ22" i="1"/>
  <c r="BQ20" i="1"/>
  <c r="BQ27" i="1" l="1"/>
  <c r="BR20" i="1" a="1"/>
  <c r="BR20" i="1" l="1"/>
  <c r="BR23" i="1"/>
  <c r="BR24" i="1"/>
  <c r="BR22" i="1"/>
  <c r="BR21" i="1"/>
  <c r="BR27" i="1" l="1"/>
  <c r="BS20" i="1" a="1"/>
  <c r="BS23" i="1" l="1"/>
  <c r="BS24" i="1"/>
  <c r="BS22" i="1"/>
  <c r="BS21" i="1"/>
  <c r="BS20" i="1"/>
  <c r="BS25" i="1" l="1"/>
  <c r="BT20" i="1" s="1" a="1"/>
  <c r="BS27" i="1"/>
  <c r="BT20" i="1" l="1"/>
  <c r="BT23" i="1"/>
  <c r="BT21" i="1"/>
  <c r="BT22" i="1"/>
  <c r="BT24" i="1"/>
  <c r="BT27" i="1" l="1"/>
  <c r="BU20" i="1" a="1"/>
  <c r="BU22" i="1" l="1"/>
  <c r="BU21" i="1"/>
  <c r="BU23" i="1"/>
  <c r="BU24" i="1"/>
  <c r="BU20" i="1"/>
  <c r="BV20" i="1" l="1" a="1"/>
  <c r="BU27" i="1"/>
  <c r="BV21" i="1" l="1"/>
  <c r="BV24" i="1"/>
  <c r="BV23" i="1"/>
  <c r="BV22" i="1"/>
  <c r="BV20" i="1"/>
  <c r="BV25" i="1" l="1"/>
  <c r="BW20" i="1" s="1" a="1"/>
  <c r="BV27" i="1"/>
  <c r="BW24" i="1" l="1"/>
  <c r="BW22" i="1"/>
  <c r="BW23" i="1"/>
  <c r="BW21" i="1"/>
  <c r="BW20" i="1"/>
  <c r="BW27" i="1" l="1"/>
  <c r="BX20" i="1" a="1"/>
  <c r="BX21" i="1" l="1"/>
  <c r="BX20" i="1"/>
  <c r="BX24" i="1"/>
  <c r="BX23" i="1"/>
  <c r="BX22" i="1"/>
  <c r="BY20" i="1" l="1" a="1"/>
  <c r="BX27" i="1"/>
  <c r="BY22" i="1" l="1"/>
  <c r="BY21" i="1"/>
  <c r="BY20" i="1"/>
  <c r="BY23" i="1"/>
  <c r="BY24" i="1"/>
  <c r="BY25" i="1" l="1"/>
  <c r="BZ20" i="1" s="1" a="1"/>
  <c r="BY27" i="1"/>
  <c r="BZ22" i="1" l="1"/>
  <c r="BZ20" i="1"/>
  <c r="BZ21" i="1"/>
  <c r="BZ24" i="1"/>
  <c r="BZ23" i="1"/>
  <c r="CA20" i="1" l="1" a="1"/>
  <c r="BZ27" i="1"/>
  <c r="CA23" i="1" l="1"/>
  <c r="CA22" i="1"/>
  <c r="CA21" i="1"/>
  <c r="CA20" i="1"/>
  <c r="CA24" i="1"/>
  <c r="CB20" i="1" l="1" a="1"/>
  <c r="CA27" i="1"/>
  <c r="CB20" i="1" l="1"/>
  <c r="CB24" i="1"/>
  <c r="CB23" i="1"/>
  <c r="CB22" i="1"/>
  <c r="CB21" i="1"/>
  <c r="CB27" i="1" l="1"/>
  <c r="CB25" i="1"/>
  <c r="CC20" i="1" s="1" a="1"/>
  <c r="CC20" i="1" l="1"/>
  <c r="CC21" i="1"/>
  <c r="CC22" i="1"/>
  <c r="CC23" i="1"/>
  <c r="CC24" i="1"/>
  <c r="CC27" i="1" l="1"/>
  <c r="CD20" i="1" a="1"/>
  <c r="CD22" i="1" l="1"/>
  <c r="CD21" i="1"/>
  <c r="CD23" i="1"/>
  <c r="CD20" i="1"/>
  <c r="CD24" i="1"/>
  <c r="CE20" i="1" l="1" a="1"/>
  <c r="CD27" i="1"/>
  <c r="CE23" i="1" l="1"/>
  <c r="CE22" i="1"/>
  <c r="CE24" i="1"/>
  <c r="CE21" i="1"/>
  <c r="CE20" i="1"/>
  <c r="CE25" i="1" l="1"/>
  <c r="CF20" i="1" s="1" a="1"/>
  <c r="CE27" i="1"/>
  <c r="CF24" i="1" l="1"/>
  <c r="CF23" i="1"/>
  <c r="CF22" i="1"/>
  <c r="CF21" i="1"/>
  <c r="CF20" i="1"/>
  <c r="CF27" i="1" l="1"/>
  <c r="CG20" i="1" a="1"/>
  <c r="CG24" i="1" l="1"/>
  <c r="CG21" i="1"/>
  <c r="CG23" i="1"/>
  <c r="CG22" i="1"/>
  <c r="CG20" i="1"/>
  <c r="CH20" i="1" l="1" a="1"/>
  <c r="CG27" i="1"/>
  <c r="CH22" i="1" l="1"/>
  <c r="CH23" i="1"/>
  <c r="CH24" i="1"/>
  <c r="CH20" i="1"/>
  <c r="CH21" i="1"/>
  <c r="CH27" i="1" l="1"/>
  <c r="CH25" i="1"/>
  <c r="CI20" i="1" s="1" a="1"/>
  <c r="CI24" i="1" l="1"/>
  <c r="CI23" i="1"/>
  <c r="CI22" i="1"/>
  <c r="CI21" i="1"/>
  <c r="CI20" i="1"/>
  <c r="CJ20" i="1" l="1" a="1"/>
  <c r="CI27" i="1"/>
  <c r="CJ21" i="1" l="1"/>
  <c r="CJ24" i="1"/>
  <c r="CJ20" i="1"/>
  <c r="CJ23" i="1"/>
  <c r="CJ22" i="1"/>
  <c r="CJ27" i="1" l="1"/>
  <c r="CK20" i="1" a="1"/>
  <c r="CK22" i="1" l="1"/>
  <c r="CK20" i="1"/>
  <c r="CK24" i="1"/>
  <c r="CK21" i="1"/>
  <c r="CK23" i="1"/>
  <c r="CK27" i="1" l="1"/>
  <c r="CK2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EACF-4DD3-4FF8-8393-1F3D1C2A5590}">
  <dimension ref="A1:CK27"/>
  <sheetViews>
    <sheetView tabSelected="1" topLeftCell="A11" workbookViewId="0">
      <selection activeCell="H35" sqref="H35"/>
    </sheetView>
  </sheetViews>
  <sheetFormatPr defaultRowHeight="14.25" x14ac:dyDescent="0.65"/>
  <cols>
    <col min="8" max="8" width="12.12890625" bestFit="1" customWidth="1"/>
  </cols>
  <sheetData>
    <row r="1" spans="1:39" x14ac:dyDescent="0.65">
      <c r="A1">
        <v>1.67</v>
      </c>
      <c r="B1">
        <v>-0.33</v>
      </c>
      <c r="C1">
        <v>1</v>
      </c>
      <c r="D1">
        <v>-2.33</v>
      </c>
    </row>
    <row r="2" spans="1:39" x14ac:dyDescent="0.65">
      <c r="A2">
        <v>0.75</v>
      </c>
      <c r="B2">
        <v>-0.25</v>
      </c>
      <c r="C2">
        <v>1.75</v>
      </c>
      <c r="D2">
        <v>-2.25</v>
      </c>
    </row>
    <row r="3" spans="1:39" x14ac:dyDescent="0.65">
      <c r="A3">
        <v>-1.83</v>
      </c>
      <c r="B3">
        <v>-1.83</v>
      </c>
      <c r="C3">
        <v>1.5</v>
      </c>
      <c r="D3">
        <v>2.17</v>
      </c>
    </row>
    <row r="4" spans="1:39" x14ac:dyDescent="0.65">
      <c r="A4">
        <v>-2</v>
      </c>
      <c r="B4">
        <v>0</v>
      </c>
      <c r="C4">
        <v>1</v>
      </c>
      <c r="D4">
        <v>1</v>
      </c>
    </row>
    <row r="5" spans="1:39" x14ac:dyDescent="0.65">
      <c r="A5">
        <v>-0.88</v>
      </c>
      <c r="B5">
        <v>1.38</v>
      </c>
      <c r="C5">
        <v>0.38</v>
      </c>
      <c r="D5">
        <v>-0.88</v>
      </c>
    </row>
    <row r="7" spans="1:39" x14ac:dyDescent="0.65">
      <c r="A7">
        <f t="array" ref="A7:E11">MMULT(A1:D5,TRANSPOSE(A1:D5))</f>
        <v>9.3267000000000007</v>
      </c>
      <c r="B7">
        <v>8.3275000000000006</v>
      </c>
      <c r="C7">
        <v>-6.0082999999999993</v>
      </c>
      <c r="D7">
        <v>-4.67</v>
      </c>
      <c r="E7">
        <v>0.50540000000000029</v>
      </c>
      <c r="G7">
        <v>1</v>
      </c>
      <c r="H7">
        <f t="array" ref="H7:H11">MMULT($A7:$E11,G7:G11)</f>
        <v>17.654200000000003</v>
      </c>
      <c r="I7">
        <f t="array" ref="I7:I11">H7:H11/H12</f>
        <v>0.65043739760353325</v>
      </c>
      <c r="J7">
        <f t="array" ref="J7:J11">MMULT($A7:$E11,I7:I11)</f>
        <v>14.525895860113838</v>
      </c>
      <c r="K7">
        <f t="array" ref="K7:K11">J7:J11/J12</f>
        <v>0.59434553952418601</v>
      </c>
      <c r="L7">
        <f t="array" ref="L7:L11">MMULT($A7:$E11,K7:K11)</f>
        <v>14.516404615693991</v>
      </c>
      <c r="M7">
        <f t="array" ref="M7:M11">L7:L11/L12</f>
        <v>0.5623362675313337</v>
      </c>
      <c r="N7">
        <f t="array" ref="N7:N11">MMULT($A7:$E11,M7:M11)</f>
        <v>14.287476789092532</v>
      </c>
      <c r="O7">
        <f t="array" ref="O7:O11">N7:N11/N12</f>
        <v>0.54860003055331641</v>
      </c>
      <c r="P7">
        <f t="array" ref="P7:P11">MMULT($A7:$E11,O7:O11)</f>
        <v>14.163644513027943</v>
      </c>
      <c r="Q7">
        <f t="array" ref="Q7:Q11">P7:P11/P12</f>
        <v>0.54312399304951886</v>
      </c>
      <c r="R7">
        <f t="array" ref="R7:R11">MMULT($A7:$E11,Q7:Q11)</f>
        <v>14.110779213581552</v>
      </c>
      <c r="S7">
        <f t="array" ref="S7:S11">R7:R11/R12</f>
        <v>0.54099015701815467</v>
      </c>
      <c r="T7">
        <f t="array" ref="T7:T11">MMULT($A7:$E11,S7:S11)</f>
        <v>14.089671130344257</v>
      </c>
      <c r="U7">
        <f t="array" ref="U7:U11">T7:T11/T12</f>
        <v>0.54016510925816985</v>
      </c>
      <c r="V7">
        <f t="array" ref="V7:V11">MMULT($A7:$E11,U7:U11)</f>
        <v>14.081434015550805</v>
      </c>
      <c r="W7">
        <f t="array" ref="W7:W11">V7:V11/V12</f>
        <v>0.5398469779420938</v>
      </c>
      <c r="X7">
        <f t="array" ref="X7:X11">MMULT($A7:$E11,W7:W11)</f>
        <v>14.078246438236393</v>
      </c>
      <c r="Y7">
        <f t="array" ref="Y7:Y11">X7:X11/X12</f>
        <v>0.53972442741989501</v>
      </c>
      <c r="Z7">
        <f t="array" ref="Z7:Z11">MMULT($A7:$E11,Y7:Y11)</f>
        <v>14.077016780759875</v>
      </c>
      <c r="AA7">
        <f t="array" ref="AA7:AA11">Z7:Z11/Z12</f>
        <v>0.53967723404916323</v>
      </c>
      <c r="AB7">
        <f t="array" ref="AB7:AB11">MMULT($A7:$E11,AA7:AA11)</f>
        <v>14.076542980523746</v>
      </c>
      <c r="AC7">
        <f t="array" ref="AC7:AC11">AB7:AB11/AB12</f>
        <v>0.53965906212474024</v>
      </c>
      <c r="AD7">
        <f t="array" ref="AD7:AD11">MMULT($A7:$E11,AC7:AC11)</f>
        <v>14.076360500954125</v>
      </c>
      <c r="AE7">
        <f t="array" ref="AE7:AE11">AD7:AD11/AD12</f>
        <v>0.53965206518960041</v>
      </c>
      <c r="AF7">
        <f t="array" ref="AF7:AF11">MMULT($A7:$E11,AE7:AE11)</f>
        <v>14.076290232286382</v>
      </c>
      <c r="AG7">
        <f t="array" ref="AG7:AG11">AF7:AF11/AF12</f>
        <v>0.53964937109906363</v>
      </c>
      <c r="AH7">
        <f t="array" ref="AH7:AH11">MMULT($A7:$E11,AG7:AG11)</f>
        <v>14.076263175082168</v>
      </c>
      <c r="AI7">
        <f t="array" ref="AI7:AI11">AH7:AH11/AH12</f>
        <v>0.5396483337694421</v>
      </c>
      <c r="AJ7">
        <f t="array" ref="AJ7:AJ11">MMULT($A7:$E11,AI7:AI11)</f>
        <v>14.076252756835082</v>
      </c>
      <c r="AK7">
        <f t="array" ref="AK7:AK11">AJ7:AJ11/AJ12</f>
        <v>0.53964793435651293</v>
      </c>
      <c r="AL7">
        <f t="array" ref="AL7:AL11">MMULT($A7:$E11,AK7:AK11)</f>
        <v>14.076248745369435</v>
      </c>
      <c r="AM7">
        <f t="array" ref="AM7:AM11">AL7:AL11/AL12</f>
        <v>0.53964778056651841</v>
      </c>
    </row>
    <row r="8" spans="1:39" x14ac:dyDescent="0.65">
      <c r="A8">
        <v>8.3275000000000006</v>
      </c>
      <c r="B8">
        <v>8.75</v>
      </c>
      <c r="C8">
        <v>-3.1725000000000003</v>
      </c>
      <c r="D8">
        <v>-2</v>
      </c>
      <c r="E8">
        <v>1.6400000000000001</v>
      </c>
      <c r="G8">
        <v>1</v>
      </c>
      <c r="H8">
        <v>17.077500000000001</v>
      </c>
      <c r="I8">
        <v>0.62918991840889638</v>
      </c>
      <c r="J8">
        <v>12.616147424981701</v>
      </c>
      <c r="K8">
        <v>0.51620574870062819</v>
      </c>
      <c r="L8">
        <v>11.896918469651281</v>
      </c>
      <c r="M8">
        <v>0.46086265190731274</v>
      </c>
      <c r="N8">
        <v>11.40958604603972</v>
      </c>
      <c r="O8">
        <v>0.43809689743374503</v>
      </c>
      <c r="P8">
        <v>11.1911911142546</v>
      </c>
      <c r="Q8">
        <v>0.42914127076286218</v>
      </c>
      <c r="R8">
        <v>11.102752833701206</v>
      </c>
      <c r="S8">
        <v>0.42566607470242129</v>
      </c>
      <c r="T8">
        <v>11.068070056425283</v>
      </c>
      <c r="U8">
        <v>0.42432397576904718</v>
      </c>
      <c r="V8">
        <v>11.054622726565889</v>
      </c>
      <c r="W8">
        <v>0.42380659985595576</v>
      </c>
      <c r="X8">
        <v>11.049431091935945</v>
      </c>
      <c r="Y8">
        <v>0.4236072933922721</v>
      </c>
      <c r="Z8">
        <v>11.047430022219691</v>
      </c>
      <c r="AA8">
        <v>0.42353053708737415</v>
      </c>
      <c r="AB8">
        <v>11.046659215335966</v>
      </c>
      <c r="AC8">
        <v>0.42350098031938943</v>
      </c>
      <c r="AD8">
        <v>11.046362375660049</v>
      </c>
      <c r="AE8">
        <v>0.42348959935017177</v>
      </c>
      <c r="AF8">
        <v>11.046248072981673</v>
      </c>
      <c r="AG8">
        <v>0.42348521714307918</v>
      </c>
      <c r="AH8">
        <v>11.046204060652498</v>
      </c>
      <c r="AI8">
        <v>0.42348352980218906</v>
      </c>
      <c r="AJ8">
        <v>11.04618711392904</v>
      </c>
      <c r="AK8">
        <v>0.42348288010477769</v>
      </c>
      <c r="AL8">
        <v>11.046180588718844</v>
      </c>
      <c r="AM8">
        <v>0.42348262994429148</v>
      </c>
    </row>
    <row r="9" spans="1:39" x14ac:dyDescent="0.65">
      <c r="A9">
        <v>-6.0082999999999993</v>
      </c>
      <c r="B9">
        <v>-3.1725000000000003</v>
      </c>
      <c r="C9">
        <v>13.656700000000001</v>
      </c>
      <c r="D9">
        <v>7.33</v>
      </c>
      <c r="E9">
        <v>-2.2545999999999999</v>
      </c>
      <c r="G9">
        <v>0</v>
      </c>
      <c r="H9">
        <v>-9.1807999999999996</v>
      </c>
      <c r="I9">
        <v>-0.33825014217118404</v>
      </c>
      <c r="J9">
        <v>-12.503025112938008</v>
      </c>
      <c r="K9">
        <v>-0.51157720515114236</v>
      </c>
      <c r="L9">
        <v>-14.833028742733751</v>
      </c>
      <c r="M9">
        <v>-0.57460164828666282</v>
      </c>
      <c r="N9">
        <v>-15.562598111757849</v>
      </c>
      <c r="O9">
        <v>-0.59756120171738236</v>
      </c>
      <c r="P9">
        <v>-15.807524380945441</v>
      </c>
      <c r="Q9">
        <v>-0.60616077691795234</v>
      </c>
      <c r="R9">
        <v>-15.895976211217725</v>
      </c>
      <c r="S9">
        <v>-0.60943244425414089</v>
      </c>
      <c r="T9">
        <v>-15.929134313884592</v>
      </c>
      <c r="U9">
        <v>-0.61068583485364147</v>
      </c>
      <c r="V9">
        <v>-15.941765146954555</v>
      </c>
      <c r="W9">
        <v>-0.61116742287339987</v>
      </c>
      <c r="X9">
        <v>-15.946607870159351</v>
      </c>
      <c r="Y9">
        <v>-0.61135268797649578</v>
      </c>
      <c r="Z9">
        <v>-15.948469373627299</v>
      </c>
      <c r="AA9">
        <v>-0.61142399507833545</v>
      </c>
      <c r="AB9">
        <v>-15.949185647306923</v>
      </c>
      <c r="AC9">
        <v>-0.6114514465652402</v>
      </c>
      <c r="AD9">
        <v>-15.949461367601675</v>
      </c>
      <c r="AE9">
        <v>-0.61146201570388736</v>
      </c>
      <c r="AF9">
        <v>-15.949567519572714</v>
      </c>
      <c r="AG9">
        <v>-0.61146608511221512</v>
      </c>
      <c r="AH9">
        <v>-15.949608390584258</v>
      </c>
      <c r="AI9">
        <v>-0.6114676519753024</v>
      </c>
      <c r="AJ9">
        <v>-15.949624127300321</v>
      </c>
      <c r="AK9">
        <v>-0.61146825527702908</v>
      </c>
      <c r="AL9">
        <v>-15.949630186531754</v>
      </c>
      <c r="AM9">
        <v>-0.61146848757202099</v>
      </c>
    </row>
    <row r="10" spans="1:39" x14ac:dyDescent="0.65">
      <c r="A10">
        <v>-4.67</v>
      </c>
      <c r="B10">
        <v>-2</v>
      </c>
      <c r="C10">
        <v>7.33</v>
      </c>
      <c r="D10">
        <v>6</v>
      </c>
      <c r="E10">
        <v>1.2600000000000002</v>
      </c>
      <c r="G10">
        <v>0</v>
      </c>
      <c r="H10">
        <v>-6.67</v>
      </c>
      <c r="I10">
        <v>-0.24574421055701001</v>
      </c>
      <c r="J10">
        <v>-8.1501665764962432</v>
      </c>
      <c r="K10">
        <v>-0.33347445126745423</v>
      </c>
      <c r="L10">
        <v>-9.4505540024620291</v>
      </c>
      <c r="M10">
        <v>-0.36609542132094508</v>
      </c>
      <c r="N10">
        <v>-9.8493933545700578</v>
      </c>
      <c r="O10">
        <v>-0.37818976541567217</v>
      </c>
      <c r="P10">
        <v>-9.9819822114168311</v>
      </c>
      <c r="Q10">
        <v>-0.3827725295016573</v>
      </c>
      <c r="R10">
        <v>-10.029738103156991</v>
      </c>
      <c r="S10">
        <v>-0.38452799162610263</v>
      </c>
      <c r="T10">
        <v>-10.047640713131255</v>
      </c>
      <c r="U10">
        <v>-0.38520309618204485</v>
      </c>
      <c r="V10">
        <v>-10.054464426251391</v>
      </c>
      <c r="W10">
        <v>-0.38546303092027712</v>
      </c>
      <c r="X10">
        <v>-10.057082101652744</v>
      </c>
      <c r="Y10">
        <v>-0.38556313832430567</v>
      </c>
      <c r="Z10">
        <v>-10.058088690088297</v>
      </c>
      <c r="AA10">
        <v>-0.38560169165295366</v>
      </c>
      <c r="AB10">
        <v>-10.058476095662092</v>
      </c>
      <c r="AC10">
        <v>-0.38561653835742837</v>
      </c>
      <c r="AD10">
        <v>-10.058625241961442</v>
      </c>
      <c r="AE10">
        <v>-0.3856222554420089</v>
      </c>
      <c r="AF10">
        <v>-10.058682667286465</v>
      </c>
      <c r="AG10">
        <v>-0.38562445686405178</v>
      </c>
      <c r="AH10">
        <v>-10.058704778268078</v>
      </c>
      <c r="AI10">
        <v>-0.38562530452542554</v>
      </c>
      <c r="AJ10">
        <v>-10.058713291922135</v>
      </c>
      <c r="AK10">
        <v>-0.3856256309147616</v>
      </c>
      <c r="AL10">
        <v>-10.058716570038376</v>
      </c>
      <c r="AM10">
        <v>-0.3856257565890584</v>
      </c>
    </row>
    <row r="11" spans="1:39" x14ac:dyDescent="0.65">
      <c r="A11">
        <v>0.50540000000000029</v>
      </c>
      <c r="B11">
        <v>1.6400000000000001</v>
      </c>
      <c r="C11">
        <v>-2.2545999999999999</v>
      </c>
      <c r="D11">
        <v>1.2600000000000002</v>
      </c>
      <c r="E11">
        <v>3.5975999999999999</v>
      </c>
      <c r="G11">
        <v>0</v>
      </c>
      <c r="H11">
        <v>2.1454000000000004</v>
      </c>
      <c r="I11">
        <v>7.9043422688007403E-2</v>
      </c>
      <c r="J11">
        <v>2.0979502096391105</v>
      </c>
      <c r="K11">
        <v>8.5840306253790272E-2</v>
      </c>
      <c r="L11">
        <v>2.1890029074599635</v>
      </c>
      <c r="M11">
        <v>8.4797562287941539E-2</v>
      </c>
      <c r="N11">
        <v>2.1793038541881469</v>
      </c>
      <c r="O11">
        <v>8.3679307315152177E-2</v>
      </c>
      <c r="P11">
        <v>2.1675284241982427</v>
      </c>
      <c r="Q11">
        <v>8.3116791848033181E-2</v>
      </c>
      <c r="R11">
        <v>2.161664220957932</v>
      </c>
      <c r="S11">
        <v>8.2875583879236076E-2</v>
      </c>
      <c r="T11">
        <v>2.1591831077993828</v>
      </c>
      <c r="U11">
        <v>8.2778041342711689E-2</v>
      </c>
      <c r="V11">
        <v>2.1581894300864994</v>
      </c>
      <c r="W11">
        <v>8.2739587486054283E-2</v>
      </c>
      <c r="X11">
        <v>2.157800079006349</v>
      </c>
      <c r="Y11">
        <v>8.2724607587860891E-2</v>
      </c>
      <c r="Z11">
        <v>2.1576489510626118</v>
      </c>
      <c r="AA11">
        <v>8.2718805844578427E-2</v>
      </c>
      <c r="AB11">
        <v>2.1575905386390892</v>
      </c>
      <c r="AC11">
        <v>8.2716565291790237E-2</v>
      </c>
      <c r="AD11">
        <v>2.1575680061110183</v>
      </c>
      <c r="AE11">
        <v>8.2715701278458884E-2</v>
      </c>
      <c r="AF11">
        <v>2.1575593223495431</v>
      </c>
      <c r="AG11">
        <v>8.2715368339327994E-2</v>
      </c>
      <c r="AH11">
        <v>2.1575559772509783</v>
      </c>
      <c r="AI11">
        <v>8.2715240092901599E-2</v>
      </c>
      <c r="AJ11">
        <v>2.1575546889623696</v>
      </c>
      <c r="AK11">
        <v>8.2715190702609853E-2</v>
      </c>
      <c r="AL11">
        <v>2.1575541928623165</v>
      </c>
      <c r="AM11">
        <v>8.2715171683304695E-2</v>
      </c>
    </row>
    <row r="12" spans="1:39" x14ac:dyDescent="0.65">
      <c r="H12">
        <f>SQRT(SUMPRODUCT(H7:H11,H7:H11))</f>
        <v>27.142043285095546</v>
      </c>
      <c r="J12">
        <f>SQRT(SUMPRODUCT(J7:J11,J7:J11))</f>
        <v>24.440152897829108</v>
      </c>
      <c r="L12">
        <f>SQRT(SUMPRODUCT(L7:L11,L7:L11))</f>
        <v>25.814455609312322</v>
      </c>
      <c r="N12">
        <f>SQRT(SUMPRODUCT(N7:N11,N7:N11))</f>
        <v>26.043521679505236</v>
      </c>
      <c r="P12">
        <f>SQRT(SUMPRODUCT(P7:P11,P7:P11))</f>
        <v>26.078104989437627</v>
      </c>
      <c r="R12">
        <f>SQRT(SUMPRODUCT(R7:R11,R7:R11))</f>
        <v>26.08324574953037</v>
      </c>
      <c r="T12">
        <f>SQRT(SUMPRODUCT(T7:T11,T7:T11))</f>
        <v>26.084008183524038</v>
      </c>
      <c r="V12">
        <f>SQRT(SUMPRODUCT(V7:V11,V7:V11))</f>
        <v>26.084121224924662</v>
      </c>
      <c r="X12">
        <f>SQRT(SUMPRODUCT(X7:X11,X7:X11))</f>
        <v>26.084137984149073</v>
      </c>
      <c r="Z12">
        <f>SQRT(SUMPRODUCT(Z7:Z11,Z7:Z11))</f>
        <v>26.084140468814912</v>
      </c>
      <c r="AB12">
        <f>SQRT(SUMPRODUCT(AB7:AB11,AB7:AB11))</f>
        <v>26.084140837182872</v>
      </c>
      <c r="AD12">
        <f>SQRT(SUMPRODUCT(AD7:AD11,AD7:AD11))</f>
        <v>26.084140891795833</v>
      </c>
      <c r="AF12">
        <f>SQRT(SUMPRODUCT(AF7:AF11,AF7:AF11))</f>
        <v>26.084140899892557</v>
      </c>
      <c r="AH12">
        <f>SQRT(SUMPRODUCT(AH7:AH11,AH7:AH11))</f>
        <v>26.084140901092955</v>
      </c>
      <c r="AJ12">
        <f>SQRT(SUMPRODUCT(AJ7:AJ11,AJ7:AJ11))</f>
        <v>26.084140901270917</v>
      </c>
      <c r="AL12">
        <f>SQRT(SUMPRODUCT(AL7:AL11,AL7:AL11))</f>
        <v>26.084140901297303</v>
      </c>
    </row>
    <row r="14" spans="1:39" x14ac:dyDescent="0.65">
      <c r="A14">
        <f t="array" ref="A14:D17">MMULT(TRANSPOSE(A1:D5),A1:D5)</f>
        <v>11.4747</v>
      </c>
      <c r="B14">
        <v>1.3959000000000006</v>
      </c>
      <c r="C14">
        <v>-2.0969000000000002</v>
      </c>
      <c r="D14">
        <v>-10.7753</v>
      </c>
      <c r="G14">
        <v>1</v>
      </c>
      <c r="H14">
        <f t="array" ref="H14:H17">MMULT($A14:$D17,G14:G17)</f>
        <v>12.870600000000001</v>
      </c>
      <c r="I14">
        <f t="array" ref="I14:I17">H14:H17/H18</f>
        <v>0.60534895575084868</v>
      </c>
      <c r="J14">
        <f t="array" ref="J14:J17">MMULT($A14:$D17,I14:I17)</f>
        <v>15.309678905246177</v>
      </c>
      <c r="K14">
        <f t="array" ref="K14:K17">J14:J17/J18</f>
        <v>0.60902435440752545</v>
      </c>
      <c r="L14">
        <f t="array" ref="L14:L17">MMULT($A14:$D17,K14:K17)</f>
        <v>15.610615708926371</v>
      </c>
      <c r="M14">
        <f t="array" ref="M14:M17">L14:L17/L18</f>
        <v>0.60186197029191435</v>
      </c>
      <c r="N14">
        <f t="array" ref="N14:N17">MMULT($A14:$D17,M14:M17)</f>
        <v>15.575741999922968</v>
      </c>
      <c r="O14">
        <f t="array" ref="O14:O17">N14:N17/N18</f>
        <v>0.59763652446091897</v>
      </c>
      <c r="P14">
        <f t="array" ref="P14:P17">MMULT($A14:$D17,O14:O17)</f>
        <v>15.537977029521596</v>
      </c>
      <c r="Q14">
        <f t="array" ref="Q14:Q17">P14:P17/P18</f>
        <v>0.59576096624566355</v>
      </c>
      <c r="R14">
        <f t="array" ref="R14:R17">MMULT($A14:$D17,Q14:Q17)</f>
        <v>15.519661903781142</v>
      </c>
      <c r="S14">
        <f t="array" ref="S14:S17">R14:R17/R18</f>
        <v>0.5949955799404143</v>
      </c>
      <c r="T14">
        <f t="array" ref="T14:T17">MMULT($A14:$D17,S14:S17)</f>
        <v>15.512018018949812</v>
      </c>
      <c r="U14">
        <f t="array" ref="U14:U17">T14:T17/T18</f>
        <v>0.59469317202114247</v>
      </c>
      <c r="V14">
        <f t="array" ref="V14:V17">MMULT($A14:$D17,U14:U17)</f>
        <v>15.508980398923434</v>
      </c>
      <c r="W14">
        <f t="array" ref="W14:W17">V14:V17/V18</f>
        <v>0.59457533039690391</v>
      </c>
      <c r="X14">
        <f t="array" ref="X14:X17">MMULT($A14:$D17,W14:W17)</f>
        <v>15.50779544402902</v>
      </c>
      <c r="Y14">
        <f t="array" ref="Y14:Y17">X14:X17/X18</f>
        <v>0.59452969664574318</v>
      </c>
      <c r="Z14">
        <f t="array" ref="Z14:Z17">MMULT($A14:$D17,Y14:Y17)</f>
        <v>15.507336642183926</v>
      </c>
      <c r="AA14">
        <f t="array" ref="AA14:AA17">Z14:Z17/Z18</f>
        <v>0.59451207686780894</v>
      </c>
      <c r="AB14">
        <f t="array" ref="AB14:AB17">MMULT($A14:$D17,AA14:AA17)</f>
        <v>15.507159553254771</v>
      </c>
      <c r="AC14">
        <f t="array" ref="AC14:AC17">AB14:AB17/AB18</f>
        <v>0.59450528320806462</v>
      </c>
      <c r="AD14">
        <f t="array" ref="AD14:AD17">MMULT($A14:$D17,AC14:AC17)</f>
        <v>15.507091292022633</v>
      </c>
      <c r="AE14">
        <f t="array" ref="AE14:AE17">AD14:AD17/AD18</f>
        <v>0.59450266557522669</v>
      </c>
      <c r="AF14">
        <f t="array" ref="AF14:AF17">MMULT($A14:$D17,AE14:AE17)</f>
        <v>15.507064995420832</v>
      </c>
      <c r="AG14">
        <f t="array" ref="AG14:AG17">AF14:AF17/AF18</f>
        <v>0.59450165733070848</v>
      </c>
      <c r="AH14">
        <f t="array" ref="AH14:AH17">MMULT($A14:$D17,AG14:AG17)</f>
        <v>15.507054867761292</v>
      </c>
      <c r="AI14">
        <f t="array" ref="AI14:AI17">AH14:AH17/AH18</f>
        <v>0.5945012690471303</v>
      </c>
      <c r="AJ14">
        <f t="array" ref="AJ14:AJ17">MMULT($A14:$D17,AI14:AI17)</f>
        <v>15.507050967757479</v>
      </c>
      <c r="AK14">
        <f t="array" ref="AK14:AK17">AJ14:AJ17/AJ18</f>
        <v>0.59450111952866391</v>
      </c>
      <c r="AL14">
        <f t="array" ref="AL14:AL17">MMULT($A14:$D17,AK14:AK17)</f>
        <v>15.507049466013939</v>
      </c>
      <c r="AM14">
        <f t="array" ref="AM14:AM17">AL14:AL17/AL18</f>
        <v>0.59450106195529062</v>
      </c>
    </row>
    <row r="15" spans="1:39" x14ac:dyDescent="0.65">
      <c r="A15">
        <v>1.3959000000000006</v>
      </c>
      <c r="B15">
        <v>5.4247000000000005</v>
      </c>
      <c r="C15">
        <v>-2.9881000000000002</v>
      </c>
      <c r="D15">
        <v>-3.8540999999999999</v>
      </c>
      <c r="G15">
        <v>1</v>
      </c>
      <c r="H15">
        <v>6.8206000000000007</v>
      </c>
      <c r="I15">
        <v>0.32079647317096627</v>
      </c>
      <c r="J15">
        <v>5.9517767852751113</v>
      </c>
      <c r="K15">
        <v>0.23676375165437125</v>
      </c>
      <c r="L15">
        <v>5.3136604040504629</v>
      </c>
      <c r="M15">
        <v>0.20486636657228249</v>
      </c>
      <c r="N15">
        <v>5.030618228187878</v>
      </c>
      <c r="O15">
        <v>0.19302330468743115</v>
      </c>
      <c r="P15">
        <v>4.918302211454737</v>
      </c>
      <c r="Q15">
        <v>0.18857876235865917</v>
      </c>
      <c r="R15">
        <v>4.8748588669483972</v>
      </c>
      <c r="S15">
        <v>0.18689321305130768</v>
      </c>
      <c r="T15">
        <v>4.858149547686077</v>
      </c>
      <c r="U15">
        <v>0.18624967822607705</v>
      </c>
      <c r="V15">
        <v>4.8517271828754618</v>
      </c>
      <c r="W15">
        <v>0.1860030265402916</v>
      </c>
      <c r="X15">
        <v>4.8492576972291923</v>
      </c>
      <c r="Y15">
        <v>0.18590828838929274</v>
      </c>
      <c r="Z15">
        <v>4.848307682418346</v>
      </c>
      <c r="AA15">
        <v>0.18587185769398204</v>
      </c>
      <c r="AB15">
        <v>4.8479420789850085</v>
      </c>
      <c r="AC15">
        <v>0.18585783997033495</v>
      </c>
      <c r="AD15">
        <v>4.8478013483681073</v>
      </c>
      <c r="AE15">
        <v>0.18585244450496213</v>
      </c>
      <c r="AF15">
        <v>4.8477471701552179</v>
      </c>
      <c r="AG15">
        <v>0.18585036741824254</v>
      </c>
      <c r="AH15">
        <v>4.8477263111649505</v>
      </c>
      <c r="AI15">
        <v>0.18584956773270189</v>
      </c>
      <c r="AJ15">
        <v>4.8477182799779897</v>
      </c>
      <c r="AK15">
        <v>0.18584925983662096</v>
      </c>
      <c r="AL15">
        <v>4.847715187719273</v>
      </c>
      <c r="AM15">
        <v>0.18584914128714033</v>
      </c>
    </row>
    <row r="16" spans="1:39" x14ac:dyDescent="0.65">
      <c r="A16">
        <v>-2.0969000000000002</v>
      </c>
      <c r="B16">
        <v>-2.9881000000000002</v>
      </c>
      <c r="C16">
        <v>7.4569000000000001</v>
      </c>
      <c r="D16">
        <v>-2.3469000000000002</v>
      </c>
      <c r="G16">
        <v>0</v>
      </c>
      <c r="H16">
        <v>-5.0850000000000009</v>
      </c>
      <c r="I16">
        <v>-0.2391651857716863</v>
      </c>
      <c r="J16">
        <v>-2.3965242258890092</v>
      </c>
      <c r="K16">
        <v>-9.5334567663199421E-2</v>
      </c>
      <c r="L16">
        <v>-0.93300509178262891</v>
      </c>
      <c r="M16">
        <v>-3.5971693449066505E-2</v>
      </c>
      <c r="N16">
        <v>-0.33289625904117703</v>
      </c>
      <c r="O16">
        <v>-1.2773129091403462E-2</v>
      </c>
      <c r="P16">
        <v>-9.9127527601768239E-2</v>
      </c>
      <c r="Q16">
        <v>-3.8007722313765989E-3</v>
      </c>
      <c r="R16">
        <v>-8.8605399971808385E-3</v>
      </c>
      <c r="S16">
        <v>-3.3969697064878759E-4</v>
      </c>
      <c r="T16">
        <v>2.5931069817465069E-2</v>
      </c>
      <c r="U16">
        <v>9.9413436374373417E-4</v>
      </c>
      <c r="V16">
        <v>3.9333397742317144E-2</v>
      </c>
      <c r="W16">
        <v>1.5079436143909533E-3</v>
      </c>
      <c r="X16">
        <v>4.4495023127132605E-2</v>
      </c>
      <c r="Y16">
        <v>1.705826769349407E-3</v>
      </c>
      <c r="Z16">
        <v>4.6482694265350233E-2</v>
      </c>
      <c r="AA16">
        <v>1.7820289675618301E-3</v>
      </c>
      <c r="AB16">
        <v>4.7248075802868161E-2</v>
      </c>
      <c r="AC16">
        <v>1.8113717466926198E-3</v>
      </c>
      <c r="AD16">
        <v>4.7542788395117608E-2</v>
      </c>
      <c r="AE16">
        <v>1.8226702801650806E-3</v>
      </c>
      <c r="AF16">
        <v>4.765626668543943E-2</v>
      </c>
      <c r="AG16">
        <v>1.8270207505452648E-3</v>
      </c>
      <c r="AH16">
        <v>4.7699960849633127E-2</v>
      </c>
      <c r="AI16">
        <v>1.8286958742604388E-3</v>
      </c>
      <c r="AJ16">
        <v>4.7716784967505088E-2</v>
      </c>
      <c r="AK16">
        <v>1.8293408683877326E-3</v>
      </c>
      <c r="AL16">
        <v>4.7723262957028778E-2</v>
      </c>
      <c r="AM16">
        <v>1.829589218123391E-3</v>
      </c>
    </row>
    <row r="17" spans="1:89" x14ac:dyDescent="0.65">
      <c r="A17">
        <v>-10.7753</v>
      </c>
      <c r="B17">
        <v>-3.8540999999999999</v>
      </c>
      <c r="C17">
        <v>-2.3469000000000002</v>
      </c>
      <c r="D17">
        <v>16.974699999999999</v>
      </c>
      <c r="G17">
        <v>0</v>
      </c>
      <c r="H17">
        <v>-14.6294</v>
      </c>
      <c r="I17">
        <v>-0.68807141961225315</v>
      </c>
      <c r="J17">
        <v>-18.877707442154883</v>
      </c>
      <c r="K17">
        <v>-0.75096177123041019</v>
      </c>
      <c r="L17">
        <v>-19.998541382554599</v>
      </c>
      <c r="M17">
        <v>-0.7710369497204479</v>
      </c>
      <c r="N17">
        <v>-20.278517694956772</v>
      </c>
      <c r="O17">
        <v>-0.77808060999553974</v>
      </c>
      <c r="P17">
        <v>-20.36135163444624</v>
      </c>
      <c r="Q17">
        <v>-0.78069999078759755</v>
      </c>
      <c r="R17">
        <v>-20.389532648865821</v>
      </c>
      <c r="S17">
        <v>-0.7816975574815983</v>
      </c>
      <c r="T17">
        <v>-20.399845299115462</v>
      </c>
      <c r="U17">
        <v>-0.78208062257607525</v>
      </c>
      <c r="V17">
        <v>-20.403739299310914</v>
      </c>
      <c r="W17">
        <v>-0.78222808483671824</v>
      </c>
      <c r="X17">
        <v>-20.40522788676115</v>
      </c>
      <c r="Y17">
        <v>-0.78228488306339983</v>
      </c>
      <c r="Z17">
        <v>-20.40579958392933</v>
      </c>
      <c r="AA17">
        <v>-0.78230676038781066</v>
      </c>
      <c r="AB17">
        <v>-20.406019517951016</v>
      </c>
      <c r="AC17">
        <v>-0.78231518615686824</v>
      </c>
      <c r="AD17">
        <v>-20.40610417799083</v>
      </c>
      <c r="AE17">
        <v>-0.78231843092728559</v>
      </c>
      <c r="AF17">
        <v>-20.406136773081229</v>
      </c>
      <c r="AG17">
        <v>-0.78231968040994737</v>
      </c>
      <c r="AH17">
        <v>-20.40614932335642</v>
      </c>
      <c r="AI17">
        <v>-0.78232016153638706</v>
      </c>
      <c r="AJ17">
        <v>-20.406154155741159</v>
      </c>
      <c r="AK17">
        <v>-0.78232034679492557</v>
      </c>
      <c r="AL17">
        <v>-20.406156016417373</v>
      </c>
      <c r="AM17">
        <v>-0.78232041812812048</v>
      </c>
    </row>
    <row r="18" spans="1:89" x14ac:dyDescent="0.65">
      <c r="H18">
        <f>SQRT(SUMPRODUCT(H14:H17,H14:H17))</f>
        <v>21.261455690521288</v>
      </c>
      <c r="J18">
        <f>SQRT(SUMPRODUCT(J14:J17,J14:J17))</f>
        <v>25.13804053064483</v>
      </c>
      <c r="L18">
        <f>SQRT(SUMPRODUCT(L14:L17,L14:L17))</f>
        <v>25.937202347832226</v>
      </c>
      <c r="N18">
        <f>SQRT(SUMPRODUCT(N14:N17,N14:N17))</f>
        <v>26.062232414547662</v>
      </c>
      <c r="P18">
        <f>SQRT(SUMPRODUCT(P14:P17,P14:P17))</f>
        <v>26.080891347142188</v>
      </c>
      <c r="R18">
        <f>SQRT(SUMPRODUCT(R14:R17,R14:R17))</f>
        <v>26.083659151443371</v>
      </c>
      <c r="T18">
        <f>SQRT(SUMPRODUCT(T14:T17,T14:T17))</f>
        <v>26.084069481124512</v>
      </c>
      <c r="V18">
        <f>SQRT(SUMPRODUCT(V14:V17,V14:V17))</f>
        <v>26.084130312925261</v>
      </c>
      <c r="X18">
        <f>SQRT(SUMPRODUCT(X14:X17,X14:X17))</f>
        <v>26.084139331511818</v>
      </c>
      <c r="Z18">
        <f>SQRT(SUMPRODUCT(Z14:Z17,Z14:Z17))</f>
        <v>26.084140668570502</v>
      </c>
      <c r="AB18">
        <f>SQRT(SUMPRODUCT(AB14:AB17,AB14:AB17))</f>
        <v>26.084140866797956</v>
      </c>
      <c r="AD18">
        <f>SQRT(SUMPRODUCT(AD14:AD17,AD14:AD17))</f>
        <v>26.084140896186458</v>
      </c>
      <c r="AF18">
        <f>SQRT(SUMPRODUCT(AF14:AF17,AF14:AF17))</f>
        <v>26.084140900543503</v>
      </c>
      <c r="AH18">
        <f>SQRT(SUMPRODUCT(AH14:AH17,AH14:AH17))</f>
        <v>26.08414090118946</v>
      </c>
      <c r="AJ18">
        <f>SQRT(SUMPRODUCT(AJ14:AJ17,AJ14:AJ17))</f>
        <v>26.084140901285224</v>
      </c>
      <c r="AL18">
        <f>SQRT(SUMPRODUCT(AL14:AL17,AL14:AL17))</f>
        <v>26.084140901299424</v>
      </c>
    </row>
    <row r="20" spans="1:89" x14ac:dyDescent="0.65">
      <c r="A20">
        <v>9.3267000000000007</v>
      </c>
      <c r="B20">
        <v>8.3275000000000006</v>
      </c>
      <c r="C20">
        <v>-6.0082999999999993</v>
      </c>
      <c r="D20">
        <v>-4.67</v>
      </c>
      <c r="E20">
        <v>0.50540000000000029</v>
      </c>
      <c r="G20">
        <f>-AM8</f>
        <v>-0.42348262994429148</v>
      </c>
      <c r="H20">
        <f t="array" ref="H20:H24">MMULT($A20:$E24,G20:G24)</f>
        <v>0.54422144796625904</v>
      </c>
      <c r="I20">
        <f t="array" ref="I20:I24">H20:H24/H25</f>
        <v>0.28387907357233894</v>
      </c>
      <c r="J20">
        <f t="array" ref="J20:J24">I20:I24-SUMPRODUCT(I20:I24,$AM7:$AM11)*$AM7:$AM11</f>
        <v>0.28387927111034178</v>
      </c>
      <c r="K20">
        <f t="array" ref="K20:K24">MMULT($A20:$E24,J20:J24)</f>
        <v>3.2198700784478373</v>
      </c>
      <c r="L20">
        <f t="array" ref="L20:L24">K20:K24/K25</f>
        <v>0.33880309266869807</v>
      </c>
      <c r="M20">
        <f t="array" ref="M20:M24">L20:L24-SUMPRODUCT(L20:L24,$AM7:$AM11)*$AM7:$AM11</f>
        <v>0.33880330142698689</v>
      </c>
      <c r="N20">
        <f t="array" ref="N20:N24">MMULT($A20:$E24,M20:M24)</f>
        <v>3.6046255758259882</v>
      </c>
      <c r="O20">
        <f t="array" ref="O20:O24">N20:N24/N25</f>
        <v>0.36466565853414634</v>
      </c>
      <c r="P20">
        <f t="array" ref="P20:P24">O20:O24-SUMPRODUCT(O20:O24,$AM7:$AM11)*$AM7:$AM11</f>
        <v>0.36466587064466699</v>
      </c>
      <c r="Q20">
        <f t="array" ref="Q20:Q24">MMULT($A20:$E24,P20:P24)</f>
        <v>3.7687709863131866</v>
      </c>
      <c r="R20">
        <f t="array" ref="R20:R24">Q20:Q24/Q25</f>
        <v>0.37688716110495724</v>
      </c>
      <c r="S20">
        <f t="array" ref="S20:S24">R20:R24-SUMPRODUCT(R20:R24,$AM7:$AM11)*$AM7:$AM11</f>
        <v>0.37688737414313428</v>
      </c>
      <c r="T20">
        <f t="array" ref="T20:T24">MMULT($A20:$E24,S20:S24)</f>
        <v>3.8405473506106524</v>
      </c>
      <c r="U20">
        <f t="array" ref="U20:U24">T20:T24/T25</f>
        <v>0.38284337547875791</v>
      </c>
      <c r="V20">
        <f t="array" ref="V20:V24">U20:U24-SUMPRODUCT(U20:U24,$AM7:$AM11)*$AM7:$AM11</f>
        <v>0.38284358876802727</v>
      </c>
      <c r="W20">
        <f t="array" ref="W20:W24">MMULT($A20:$E24,V20:V24)</f>
        <v>3.8737546139699313</v>
      </c>
      <c r="X20">
        <f t="array" ref="X20:X24">W20:W24/W25</f>
        <v>0.3858212334376086</v>
      </c>
      <c r="Y20">
        <f t="array" ref="Y20:Y24">X20:X24-SUMPRODUCT(X20:X24,$AM7:$AM11)*$AM7:$AM11</f>
        <v>0.38582144679443581</v>
      </c>
      <c r="Z20">
        <f t="array" ref="Z20:Z24">MMULT($A20:$E24,Y20:Y24)</f>
        <v>3.8898453550213152</v>
      </c>
      <c r="AA20">
        <f t="array" ref="AA20:AA24">Z20:Z24/Z25</f>
        <v>0.38733414105982977</v>
      </c>
      <c r="AB20">
        <f t="array" ref="AB20:AB24">AA20:AA24-SUMPRODUCT(AA20:AA24,$AM7:$AM11)*$AM7:$AM11</f>
        <v>0.38733435443480624</v>
      </c>
      <c r="AC20">
        <f t="array" ref="AC20:AC24">MMULT($A20:$E24,AB20:AB24)</f>
        <v>3.8978776063292928</v>
      </c>
      <c r="AD20">
        <f t="array" ref="AD20:AD24">AC20:AC24/AC25</f>
        <v>0.38810982029526492</v>
      </c>
      <c r="AE20">
        <f t="array" ref="AE20:AE24">AD20:AD24-SUMPRODUCT(AD20:AD24,$AM7:$AM11)*$AM7:$AM11</f>
        <v>0.38811003367511615</v>
      </c>
      <c r="AF20">
        <f t="array" ref="AF20:AF24">MMULT($A20:$E24,AE20:AE24)</f>
        <v>3.901956716632724</v>
      </c>
      <c r="AG20">
        <f t="array" ref="AG20:AG24">AF20:AF24/AF25</f>
        <v>0.38850948901873128</v>
      </c>
      <c r="AH20">
        <f t="array" ref="AH20:AH24">AG20:AG24-SUMPRODUCT(AG20:AG24,$AM7:$AM11)*$AM7:$AM11</f>
        <v>0.38850970239989241</v>
      </c>
      <c r="AI20">
        <f t="array" ref="AI20:AI24">MMULT($A20:$E24,AH20:AH24)</f>
        <v>3.9040478747360816</v>
      </c>
      <c r="AJ20">
        <f t="array" ref="AJ20:AJ24">AI20:AI24/AI25</f>
        <v>0.38871595916162682</v>
      </c>
      <c r="AK20">
        <f t="array" ref="AK20:AK24">AJ20:AJ24-SUMPRODUCT(AJ20:AJ24,$AM7:$AM11)*$AM7:$AM11</f>
        <v>0.38871617254314039</v>
      </c>
      <c r="AL20">
        <f t="array" ref="AL20:AL24">MMULT($A20:$E24,AK20:AK24)</f>
        <v>3.9051253117770708</v>
      </c>
      <c r="AM20">
        <f t="array" ref="AM20:AM24">AL20:AL24/AL25</f>
        <v>0.38882276907629243</v>
      </c>
      <c r="AN20">
        <f t="array" ref="AN20:AN24">AM20:AM24-SUMPRODUCT(AM20:AM24,$AM7:$AM11)*$AM7:$AM11</f>
        <v>0.38882298245790098</v>
      </c>
      <c r="AO20">
        <f t="array" ref="AO20:AO24">MMULT($A20:$E24,AN20:AN24)</f>
        <v>3.9056819147458102</v>
      </c>
      <c r="AP20">
        <f t="array" ref="AP20:AP24">AO20:AO24/AO25</f>
        <v>0.38887806297212091</v>
      </c>
      <c r="AQ20">
        <f t="array" ref="AQ20:AQ24">AP20:AP24-SUMPRODUCT(AP20:AP24,$AM7:$AM11)*$AM7:$AM11</f>
        <v>0.38887827635375499</v>
      </c>
      <c r="AR20">
        <f t="array" ref="AR20:AR24">MMULT($A20:$E24,AQ20:AQ24)</f>
        <v>3.9059698526867321</v>
      </c>
      <c r="AS20">
        <f t="array" ref="AS20:AS24">AR20:AR24/AR25</f>
        <v>0.38890669846154896</v>
      </c>
      <c r="AT20">
        <f t="array" ref="AT20:AT24">AS20:AS24-SUMPRODUCT(AS20:AS24,$AM7:$AM11)*$AM7:$AM11</f>
        <v>0.38890691184319015</v>
      </c>
      <c r="AU20">
        <f t="array" ref="AU20:AU24">MMULT($A20:$E24,AT20:AT24)</f>
        <v>3.9061189137675858</v>
      </c>
      <c r="AV20">
        <f t="array" ref="AV20:AV24">AU20:AU24/AU25</f>
        <v>0.38892153101744742</v>
      </c>
      <c r="AW20">
        <f t="array" ref="AW20:AW24">AV20:AV24-SUMPRODUCT(AV20:AV24,$AM7:$AM11)*$AM7:$AM11</f>
        <v>0.38892174439909055</v>
      </c>
      <c r="AX20">
        <f t="array" ref="AX20:AX24">MMULT($A20:$E24,AW20:AW24)</f>
        <v>3.9061961092026332</v>
      </c>
      <c r="AY20">
        <f t="array" ref="AY20:AY24">AX20:AX24/AX25</f>
        <v>0.38892921472654213</v>
      </c>
      <c r="AZ20">
        <f t="array" ref="AZ20:AZ24">AY20:AY24-SUMPRODUCT(AY20:AY24,$AM7:$AM11)*$AM7:$AM11</f>
        <v>0.38892942810818582</v>
      </c>
      <c r="BA20">
        <f t="array" ref="BA20:BA24">MMULT($A20:$E24,AZ20:AZ24)</f>
        <v>3.9062360947443784</v>
      </c>
      <c r="BB20">
        <f t="array" ref="BB20:BB24">BA20:BA24/BA25</f>
        <v>0.38893319532527437</v>
      </c>
      <c r="BC20">
        <f t="array" ref="BC20:BC24">BB20:BB24-SUMPRODUCT(BB20:BB24,$AM7:$AM11)*$AM7:$AM11</f>
        <v>0.38893340870691806</v>
      </c>
      <c r="BD20">
        <f t="array" ref="BD20:BD24">MMULT($A20:$E24,BC20:BC24)</f>
        <v>3.9062568084547755</v>
      </c>
      <c r="BE20">
        <f t="array" ref="BE20:BE24">BD20:BD24/BD25</f>
        <v>0.38893525755755298</v>
      </c>
      <c r="BF20">
        <f t="array" ref="BF20:BF24">BE20:BE24-SUMPRODUCT(BE20:BE24,$AM7:$AM11)*$AM7:$AM11</f>
        <v>0.38893547093919678</v>
      </c>
      <c r="BG20">
        <f t="array" ref="BG20:BG24">MMULT($A20:$E24,BF20:BF24)</f>
        <v>3.9062675393359254</v>
      </c>
      <c r="BH20">
        <f t="array" ref="BH20:BH24">BG20:BG24/BG25</f>
        <v>0.38893632595494493</v>
      </c>
      <c r="BI20">
        <f t="array" ref="BI20:BI24">BH20:BH24-SUMPRODUCT(BH20:BH24,$AM7:$AM11)*$AM7:$AM11</f>
        <v>0.38893653933658873</v>
      </c>
      <c r="BJ20">
        <f t="array" ref="BJ20:BJ24">MMULT($A20:$E24,BI20:BI24)</f>
        <v>3.9062730986929362</v>
      </c>
      <c r="BK20">
        <f t="array" ref="BK20:BK24">BJ20:BJ24/BJ25</f>
        <v>0.38893687947224287</v>
      </c>
      <c r="BL20">
        <f t="array" ref="BL20:BL24">BK20:BK24-SUMPRODUCT(BK20:BK24,$AM7:$AM11)*$AM7:$AM11</f>
        <v>0.38893709285388672</v>
      </c>
      <c r="BM20">
        <f t="array" ref="BM20:BM24">MMULT($A20:$E24,BL20:BL24)</f>
        <v>3.9062759788740871</v>
      </c>
      <c r="BN20">
        <f t="array" ref="BN20:BN24">BM20:BM24/BM25</f>
        <v>0.38893716624058311</v>
      </c>
      <c r="BO20">
        <f t="array" ref="BO20:BO24">BN20:BN24-SUMPRODUCT(BN20:BN24,$AM7:$AM11)*$AM7:$AM11</f>
        <v>0.38893737962222674</v>
      </c>
      <c r="BP20">
        <f t="array" ref="BP20:BP24">MMULT($A20:$E24,BO20:BO24)</f>
        <v>3.906277471043663</v>
      </c>
      <c r="BQ20">
        <f t="array" ref="BQ20:BQ24">BP20:BP24/BP25</f>
        <v>0.38893731481089988</v>
      </c>
      <c r="BR20">
        <f t="array" ref="BR20:BR24">BQ20:BQ24-SUMPRODUCT(BQ20:BQ24,$AM7:$AM11)*$AM7:$AM11</f>
        <v>0.38893752819254368</v>
      </c>
      <c r="BS20">
        <f t="array" ref="BS20:BS24">MMULT($A20:$E24,BR20:BR24)</f>
        <v>3.906278244112535</v>
      </c>
      <c r="BT20">
        <f t="array" ref="BT20:BT24">BS20:BS24/BS25</f>
        <v>0.38893739178299946</v>
      </c>
      <c r="BU20">
        <f t="array" ref="BU20:BU24">BT20:BT24-SUMPRODUCT(BT20:BT24,$AM7:$AM11)*$AM7:$AM11</f>
        <v>0.38893760516464337</v>
      </c>
      <c r="BV20">
        <f t="array" ref="BV20:BV24">MMULT($A20:$E24,BU20:BU24)</f>
        <v>3.9062786446277635</v>
      </c>
      <c r="BW20">
        <f t="array" ref="BW20:BW24">BV20:BV24/BV25</f>
        <v>0.38893743166113492</v>
      </c>
      <c r="BX20">
        <f t="array" ref="BX20:BX24">BW20:BW24-SUMPRODUCT(BW20:BW24,$AM7:$AM11)*$AM7:$AM11</f>
        <v>0.38893764504277878</v>
      </c>
      <c r="BY20">
        <f t="array" ref="BY20:BY24">MMULT($A20:$E24,BX20:BX24)</f>
        <v>3.9062788521288239</v>
      </c>
      <c r="BZ20">
        <f t="array" ref="BZ20:BZ24">BY20:BY24/BY25</f>
        <v>0.3889374523214279</v>
      </c>
      <c r="CA20">
        <f t="array" ref="CA20:CA24">BZ20:BZ24-SUMPRODUCT(BZ20:BZ24,$AM7:$AM11)*$AM7:$AM11</f>
        <v>0.38893766570307164</v>
      </c>
      <c r="CB20">
        <f t="array" ref="CB20:CB24">MMULT($A20:$E24,CA20:CA24)</f>
        <v>3.9062789596321315</v>
      </c>
      <c r="CC20">
        <f t="array" ref="CC20:CC24">CB20:CB24/CB25</f>
        <v>0.38893746302523202</v>
      </c>
      <c r="CD20">
        <f t="array" ref="CD20:CD24">CC20:CC24-SUMPRODUCT(CC20:CC24,$AM7:$AM11)*$AM7:$AM11</f>
        <v>0.38893767640687593</v>
      </c>
      <c r="CE20">
        <f t="array" ref="CE20:CE24">MMULT($A20:$E24,CD20:CD24)</f>
        <v>3.9062790153280589</v>
      </c>
      <c r="CF20">
        <f t="array" ref="CF20:CF24">CE20:CE24/CE25</f>
        <v>0.38893746857072126</v>
      </c>
      <c r="CG20">
        <f t="array" ref="CG20:CG24">CF20:CF24-SUMPRODUCT(CF20:CF24,$AM7:$AM11)*$AM7:$AM11</f>
        <v>0.38893768195236522</v>
      </c>
      <c r="CH20">
        <f t="array" ref="CH20:CH24">MMULT($A20:$E24,CG20:CG24)</f>
        <v>3.9062790441833304</v>
      </c>
      <c r="CI20">
        <f t="array" ref="CI20:CI24">CH20:CH24/CH25</f>
        <v>0.38893747144376106</v>
      </c>
      <c r="CJ20">
        <f t="array" ref="CJ20:CJ24">CI20:CI24-SUMPRODUCT(CI20:CI24,$AM7:$AM11)*$AM7:$AM11</f>
        <v>0.38893768482540486</v>
      </c>
      <c r="CK20">
        <f t="array" ref="CK20:CK24">MMULT($A20:$E24,CJ20:CJ24)</f>
        <v>3.9062790591328374</v>
      </c>
    </row>
    <row r="21" spans="1:89" x14ac:dyDescent="0.65">
      <c r="A21">
        <v>8.3275000000000006</v>
      </c>
      <c r="B21">
        <v>8.75</v>
      </c>
      <c r="C21">
        <v>-3.1725000000000003</v>
      </c>
      <c r="D21">
        <v>-2</v>
      </c>
      <c r="E21">
        <v>1.6400000000000001</v>
      </c>
      <c r="G21">
        <f>AM7</f>
        <v>0.53964778056651841</v>
      </c>
      <c r="H21">
        <v>1.1953664790959486</v>
      </c>
      <c r="I21">
        <v>0.62353207491782847</v>
      </c>
      <c r="J21">
        <v>0.62353222993359236</v>
      </c>
      <c r="K21">
        <v>6.0792393898905983</v>
      </c>
      <c r="L21">
        <v>0.63967335829934513</v>
      </c>
      <c r="M21">
        <v>0.63967352212010442</v>
      </c>
      <c r="N21">
        <v>6.3242615716243238</v>
      </c>
      <c r="O21">
        <v>0.63980043481495619</v>
      </c>
      <c r="P21">
        <v>0.63980060126634231</v>
      </c>
      <c r="Q21">
        <v>6.3730271505576317</v>
      </c>
      <c r="R21">
        <v>0.63731973079323656</v>
      </c>
      <c r="S21">
        <v>0.63731989797259081</v>
      </c>
      <c r="T21">
        <v>6.3734304151061991</v>
      </c>
      <c r="U21">
        <v>0.63533277700905599</v>
      </c>
      <c r="V21">
        <v>0.63533294438545218</v>
      </c>
      <c r="W21">
        <v>6.3666943026473248</v>
      </c>
      <c r="X21">
        <v>0.63411498495775742</v>
      </c>
      <c r="Y21">
        <v>0.63411515238716887</v>
      </c>
      <c r="Z21">
        <v>6.3613268689718971</v>
      </c>
      <c r="AA21">
        <v>0.63343368538118761</v>
      </c>
      <c r="AB21">
        <v>0.63343385282484155</v>
      </c>
      <c r="AC21">
        <v>6.3580421126325497</v>
      </c>
      <c r="AD21">
        <v>0.63306723067873594</v>
      </c>
      <c r="AE21">
        <v>0.63306739812621526</v>
      </c>
      <c r="AF21">
        <v>6.3562051905914352</v>
      </c>
      <c r="AG21">
        <v>0.63287376309646681</v>
      </c>
      <c r="AH21">
        <v>0.63287393054497409</v>
      </c>
      <c r="AI21">
        <v>6.3552172633886723</v>
      </c>
      <c r="AJ21">
        <v>0.63277256157768236</v>
      </c>
      <c r="AK21">
        <v>0.6327727290264662</v>
      </c>
      <c r="AL21">
        <v>6.3546957086027351</v>
      </c>
      <c r="AM21">
        <v>0.63271987062862256</v>
      </c>
      <c r="AN21">
        <v>0.6327200380774809</v>
      </c>
      <c r="AO21">
        <v>6.3544228891777941</v>
      </c>
      <c r="AP21">
        <v>0.63269250245894448</v>
      </c>
      <c r="AQ21">
        <v>0.63269266990782291</v>
      </c>
      <c r="AR21">
        <v>6.3542808450293693</v>
      </c>
      <c r="AS21">
        <v>0.63267830468225361</v>
      </c>
      <c r="AT21">
        <v>0.63267847213113759</v>
      </c>
      <c r="AU21">
        <v>6.3542070660182892</v>
      </c>
      <c r="AV21">
        <v>0.6326709439918391</v>
      </c>
      <c r="AW21">
        <v>0.63267111144072452</v>
      </c>
      <c r="AX21">
        <v>6.3541687917100669</v>
      </c>
      <c r="AY21">
        <v>0.63266712917395362</v>
      </c>
      <c r="AZ21">
        <v>0.6326672966228396</v>
      </c>
      <c r="BA21">
        <v>6.3541489487918401</v>
      </c>
      <c r="BB21">
        <v>0.6326651524088347</v>
      </c>
      <c r="BC21">
        <v>0.63266531985772068</v>
      </c>
      <c r="BD21">
        <v>6.35413866482196</v>
      </c>
      <c r="BE21">
        <v>0.63266412817762052</v>
      </c>
      <c r="BF21">
        <v>0.6326642956265065</v>
      </c>
      <c r="BG21">
        <v>6.3541333358669512</v>
      </c>
      <c r="BH21">
        <v>0.63266359751182477</v>
      </c>
      <c r="BI21">
        <v>0.63266376496071075</v>
      </c>
      <c r="BJ21">
        <v>6.3541305747487966</v>
      </c>
      <c r="BK21">
        <v>0.63266332257437341</v>
      </c>
      <c r="BL21">
        <v>0.6326634900232595</v>
      </c>
      <c r="BM21">
        <v>6.3541291441822016</v>
      </c>
      <c r="BN21">
        <v>0.63266318013128475</v>
      </c>
      <c r="BO21">
        <v>0.63266334758017062</v>
      </c>
      <c r="BP21">
        <v>6.3541284030069871</v>
      </c>
      <c r="BQ21">
        <v>0.63266310633302802</v>
      </c>
      <c r="BR21">
        <v>0.632663273781914</v>
      </c>
      <c r="BS21">
        <v>6.3541280190095142</v>
      </c>
      <c r="BT21">
        <v>0.63266306809905815</v>
      </c>
      <c r="BU21">
        <v>0.63266323554794424</v>
      </c>
      <c r="BV21">
        <v>6.3541278200644884</v>
      </c>
      <c r="BW21">
        <v>0.6326630482905421</v>
      </c>
      <c r="BX21">
        <v>0.63266321573942819</v>
      </c>
      <c r="BY21">
        <v>6.3541277169935144</v>
      </c>
      <c r="BZ21">
        <v>0.63266303802802004</v>
      </c>
      <c r="CA21">
        <v>0.63266320547690602</v>
      </c>
      <c r="CB21">
        <v>6.3541276635938004</v>
      </c>
      <c r="CC21">
        <v>0.63266303271114932</v>
      </c>
      <c r="CD21">
        <v>0.63266320016003541</v>
      </c>
      <c r="CE21">
        <v>6.354127635928136</v>
      </c>
      <c r="CF21">
        <v>0.6326630299565531</v>
      </c>
      <c r="CG21">
        <v>0.6326631974054393</v>
      </c>
      <c r="CH21">
        <v>6.3541276215949418</v>
      </c>
      <c r="CI21">
        <v>0.6326630285294359</v>
      </c>
      <c r="CJ21">
        <v>0.63266319597832188</v>
      </c>
      <c r="CK21">
        <v>6.354127614169113</v>
      </c>
    </row>
    <row r="22" spans="1:89" x14ac:dyDescent="0.65">
      <c r="A22">
        <v>-6.0082999999999993</v>
      </c>
      <c r="B22">
        <v>-3.1725000000000003</v>
      </c>
      <c r="C22">
        <v>13.656700000000001</v>
      </c>
      <c r="D22">
        <v>7.33</v>
      </c>
      <c r="E22">
        <v>-2.2545999999999999</v>
      </c>
      <c r="G22">
        <v>0</v>
      </c>
      <c r="H22">
        <v>0.83237810164700643</v>
      </c>
      <c r="I22">
        <v>0.43418855548689123</v>
      </c>
      <c r="J22">
        <v>0.43418833165892756</v>
      </c>
      <c r="K22">
        <v>4.8915815330188108</v>
      </c>
      <c r="L22">
        <v>0.51470491387862771</v>
      </c>
      <c r="M22">
        <v>0.51470467733709135</v>
      </c>
      <c r="N22">
        <v>5.4600440160223505</v>
      </c>
      <c r="O22">
        <v>0.55237097580432148</v>
      </c>
      <c r="P22">
        <v>0.55237073546441107</v>
      </c>
      <c r="Q22">
        <v>5.7007034529294742</v>
      </c>
      <c r="R22">
        <v>0.57008556595199644</v>
      </c>
      <c r="S22">
        <v>0.5700853245609695</v>
      </c>
      <c r="T22">
        <v>5.8052397400327065</v>
      </c>
      <c r="U22">
        <v>0.57869292437812758</v>
      </c>
      <c r="V22">
        <v>0.578692682702591</v>
      </c>
      <c r="W22">
        <v>5.8533725117660556</v>
      </c>
      <c r="X22">
        <v>0.58298876085621421</v>
      </c>
      <c r="Y22">
        <v>0.58298851910412863</v>
      </c>
      <c r="Z22">
        <v>5.8766253419491781</v>
      </c>
      <c r="AA22">
        <v>0.58516918319541789</v>
      </c>
      <c r="AB22">
        <v>0.58516894142276754</v>
      </c>
      <c r="AC22">
        <v>5.8882126107557919</v>
      </c>
      <c r="AD22">
        <v>0.58628653052367885</v>
      </c>
      <c r="AE22">
        <v>0.58628628874550492</v>
      </c>
      <c r="AF22">
        <v>5.8940914781705933</v>
      </c>
      <c r="AG22">
        <v>0.58686208861636024</v>
      </c>
      <c r="AH22">
        <v>0.58686184683670217</v>
      </c>
      <c r="AI22">
        <v>5.8971037412510823</v>
      </c>
      <c r="AJ22">
        <v>0.58715938190460704</v>
      </c>
      <c r="AK22">
        <v>0.58715914012454962</v>
      </c>
      <c r="AL22">
        <v>5.8986553452971702</v>
      </c>
      <c r="AM22">
        <v>0.58731316464244843</v>
      </c>
      <c r="AN22">
        <v>0.58731292286228332</v>
      </c>
      <c r="AO22">
        <v>5.8994567896343897</v>
      </c>
      <c r="AP22">
        <v>0.58739277263700507</v>
      </c>
      <c r="AQ22">
        <v>0.58739253085681109</v>
      </c>
      <c r="AR22">
        <v>5.8998713568121879</v>
      </c>
      <c r="AS22">
        <v>0.58743399904825422</v>
      </c>
      <c r="AT22">
        <v>0.58743375726805225</v>
      </c>
      <c r="AU22">
        <v>5.9000859637508993</v>
      </c>
      <c r="AV22">
        <v>0.5874553532071719</v>
      </c>
      <c r="AW22">
        <v>0.58745511142696771</v>
      </c>
      <c r="AX22">
        <v>5.9001971017413926</v>
      </c>
      <c r="AY22">
        <v>0.5874664152436847</v>
      </c>
      <c r="AZ22">
        <v>0.58746617346347985</v>
      </c>
      <c r="BA22">
        <v>5.9002546681930976</v>
      </c>
      <c r="BB22">
        <v>0.58747214599259356</v>
      </c>
      <c r="BC22">
        <v>0.58747190421238871</v>
      </c>
      <c r="BD22">
        <v>5.900284489184223</v>
      </c>
      <c r="BE22">
        <v>0.58747511492248294</v>
      </c>
      <c r="BF22">
        <v>0.58747487314227798</v>
      </c>
      <c r="BG22">
        <v>5.9002999381127852</v>
      </c>
      <c r="BH22">
        <v>0.58747665305892083</v>
      </c>
      <c r="BI22">
        <v>0.58747641127871586</v>
      </c>
      <c r="BJ22">
        <v>5.900307941741362</v>
      </c>
      <c r="BK22">
        <v>0.58747744993918838</v>
      </c>
      <c r="BL22">
        <v>0.5874772081589833</v>
      </c>
      <c r="BM22">
        <v>5.900312088243032</v>
      </c>
      <c r="BN22">
        <v>0.58747786278985625</v>
      </c>
      <c r="BO22">
        <v>0.5874776210096514</v>
      </c>
      <c r="BP22">
        <v>5.9003142364694696</v>
      </c>
      <c r="BQ22">
        <v>0.58747807668148855</v>
      </c>
      <c r="BR22">
        <v>0.58747783490128358</v>
      </c>
      <c r="BS22">
        <v>5.9003153494305485</v>
      </c>
      <c r="BT22">
        <v>0.58747818749559688</v>
      </c>
      <c r="BU22">
        <v>0.5874779457153918</v>
      </c>
      <c r="BV22">
        <v>5.900315926038699</v>
      </c>
      <c r="BW22">
        <v>0.58747824490678735</v>
      </c>
      <c r="BX22">
        <v>0.58747800312658227</v>
      </c>
      <c r="BY22">
        <v>5.9003162247709007</v>
      </c>
      <c r="BZ22">
        <v>0.58747827465070546</v>
      </c>
      <c r="CA22">
        <v>0.58747803287050049</v>
      </c>
      <c r="CB22">
        <v>5.9003163795397473</v>
      </c>
      <c r="CC22">
        <v>0.58747829006060692</v>
      </c>
      <c r="CD22">
        <v>0.58747804828040184</v>
      </c>
      <c r="CE22">
        <v>5.9003164597232747</v>
      </c>
      <c r="CF22">
        <v>0.58747829804425855</v>
      </c>
      <c r="CG22">
        <v>0.58747805626405336</v>
      </c>
      <c r="CH22">
        <v>5.9003165012652179</v>
      </c>
      <c r="CI22">
        <v>0.58747830218047536</v>
      </c>
      <c r="CJ22">
        <v>0.5874780604002704</v>
      </c>
      <c r="CK22">
        <v>5.9003165227875138</v>
      </c>
    </row>
    <row r="23" spans="1:89" x14ac:dyDescent="0.65">
      <c r="A23">
        <v>-4.67</v>
      </c>
      <c r="B23">
        <v>-2</v>
      </c>
      <c r="C23">
        <v>7.33</v>
      </c>
      <c r="D23">
        <v>6</v>
      </c>
      <c r="E23">
        <v>1.2600000000000002</v>
      </c>
      <c r="G23">
        <v>0</v>
      </c>
      <c r="H23">
        <v>0.89836832070680428</v>
      </c>
      <c r="I23">
        <v>0.46861065024544352</v>
      </c>
      <c r="J23">
        <v>0.46861050908718338</v>
      </c>
      <c r="K23">
        <v>3.8624915115115868</v>
      </c>
      <c r="L23">
        <v>0.40642138894546703</v>
      </c>
      <c r="M23">
        <v>0.40642123976932665</v>
      </c>
      <c r="N23">
        <v>3.6197913374015953</v>
      </c>
      <c r="O23">
        <v>0.36619991842211636</v>
      </c>
      <c r="P23">
        <v>0.36619976685051181</v>
      </c>
      <c r="Q23">
        <v>3.4346705205611081</v>
      </c>
      <c r="R23">
        <v>0.34347622249435072</v>
      </c>
      <c r="S23">
        <v>0.34347607025985416</v>
      </c>
      <c r="T23">
        <v>3.3231179020142796</v>
      </c>
      <c r="U23">
        <v>0.33126363473132237</v>
      </c>
      <c r="V23">
        <v>0.33126348231739827</v>
      </c>
      <c r="W23">
        <v>3.2613811625042444</v>
      </c>
      <c r="X23">
        <v>0.32482958478828844</v>
      </c>
      <c r="Y23">
        <v>0.3248294323260883</v>
      </c>
      <c r="Z23">
        <v>3.2283892840458353</v>
      </c>
      <c r="AA23">
        <v>0.3214691783899466</v>
      </c>
      <c r="AB23">
        <v>0.32146902591477727</v>
      </c>
      <c r="AC23">
        <v>3.211034595357507</v>
      </c>
      <c r="AD23">
        <v>0.31972118820315748</v>
      </c>
      <c r="AE23">
        <v>0.31972103572450467</v>
      </c>
      <c r="AF23">
        <v>3.2019742508150593</v>
      </c>
      <c r="AG23">
        <v>0.31881373125759005</v>
      </c>
      <c r="AH23">
        <v>0.31881357877800121</v>
      </c>
      <c r="AI23">
        <v>3.1972618342314014</v>
      </c>
      <c r="AJ23">
        <v>0.31834309938326211</v>
      </c>
      <c r="AK23">
        <v>0.31834294690342141</v>
      </c>
      <c r="AL23">
        <v>3.1948154888878388</v>
      </c>
      <c r="AM23">
        <v>0.31809914046315552</v>
      </c>
      <c r="AN23">
        <v>0.31809898798324693</v>
      </c>
      <c r="AO23">
        <v>3.1935467577553349</v>
      </c>
      <c r="AP23">
        <v>0.31797271367082569</v>
      </c>
      <c r="AQ23">
        <v>0.31797256119089889</v>
      </c>
      <c r="AR23">
        <v>3.1928890938171417</v>
      </c>
      <c r="AS23">
        <v>0.31790720432114444</v>
      </c>
      <c r="AT23">
        <v>0.3179070518412126</v>
      </c>
      <c r="AU23">
        <v>3.1925482729357277</v>
      </c>
      <c r="AV23">
        <v>0.31787326232719731</v>
      </c>
      <c r="AW23">
        <v>0.31787310984726408</v>
      </c>
      <c r="AX23">
        <v>3.1923716730993221</v>
      </c>
      <c r="AY23">
        <v>0.31785567678198939</v>
      </c>
      <c r="AZ23">
        <v>0.31785552430205571</v>
      </c>
      <c r="BA23">
        <v>3.1922801724149394</v>
      </c>
      <c r="BB23">
        <v>0.31784656577756304</v>
      </c>
      <c r="BC23">
        <v>0.31784641329762936</v>
      </c>
      <c r="BD23">
        <v>3.1922327653767359</v>
      </c>
      <c r="BE23">
        <v>0.31784184544604926</v>
      </c>
      <c r="BF23">
        <v>0.31784169296611553</v>
      </c>
      <c r="BG23">
        <v>3.1922082039697095</v>
      </c>
      <c r="BH23">
        <v>0.31783939989586107</v>
      </c>
      <c r="BI23">
        <v>0.31783924741592728</v>
      </c>
      <c r="BJ23">
        <v>3.1921954789200782</v>
      </c>
      <c r="BK23">
        <v>0.31783813288733237</v>
      </c>
      <c r="BL23">
        <v>0.31783798040739858</v>
      </c>
      <c r="BM23">
        <v>3.1921888862162762</v>
      </c>
      <c r="BN23">
        <v>0.31783747646716426</v>
      </c>
      <c r="BO23">
        <v>0.31783732398723064</v>
      </c>
      <c r="BP23">
        <v>3.1921854706200721</v>
      </c>
      <c r="BQ23">
        <v>0.31783713638489297</v>
      </c>
      <c r="BR23">
        <v>0.31783698390495924</v>
      </c>
      <c r="BS23">
        <v>3.1921837010453737</v>
      </c>
      <c r="BT23">
        <v>0.31783696019300312</v>
      </c>
      <c r="BU23">
        <v>0.31783680771306927</v>
      </c>
      <c r="BV23">
        <v>3.1921827842530317</v>
      </c>
      <c r="BW23">
        <v>0.31783686891045515</v>
      </c>
      <c r="BX23">
        <v>0.31783671643052136</v>
      </c>
      <c r="BY23">
        <v>3.192182309275684</v>
      </c>
      <c r="BZ23">
        <v>0.31783682161825139</v>
      </c>
      <c r="CA23">
        <v>0.31783666913831765</v>
      </c>
      <c r="CB23">
        <v>3.1921820631965798</v>
      </c>
      <c r="CC23">
        <v>0.31783679711682722</v>
      </c>
      <c r="CD23">
        <v>0.31783664463689337</v>
      </c>
      <c r="CE23">
        <v>3.1921819357064578</v>
      </c>
      <c r="CF23">
        <v>0.31783678442298502</v>
      </c>
      <c r="CG23">
        <v>0.31783663194305112</v>
      </c>
      <c r="CH23">
        <v>3.1921818696556219</v>
      </c>
      <c r="CI23">
        <v>0.31783677784648456</v>
      </c>
      <c r="CJ23">
        <v>0.31783662536655083</v>
      </c>
      <c r="CK23">
        <v>3.1921818354356177</v>
      </c>
    </row>
    <row r="24" spans="1:89" x14ac:dyDescent="0.65">
      <c r="A24">
        <v>0.50540000000000029</v>
      </c>
      <c r="B24">
        <v>1.6400000000000001</v>
      </c>
      <c r="C24">
        <v>-2.2545999999999999</v>
      </c>
      <c r="D24">
        <v>1.2600000000000002</v>
      </c>
      <c r="E24">
        <v>3.5975999999999999</v>
      </c>
      <c r="G24">
        <v>0</v>
      </c>
      <c r="H24">
        <v>0.67099423895524524</v>
      </c>
      <c r="I24">
        <v>0.35000682835785846</v>
      </c>
      <c r="J24">
        <v>0.35000685863573672</v>
      </c>
      <c r="K24">
        <v>2.036778344229818</v>
      </c>
      <c r="L24">
        <v>0.21431510753326555</v>
      </c>
      <c r="M24">
        <v>0.21431513953094686</v>
      </c>
      <c r="N24">
        <v>1.3429535073798504</v>
      </c>
      <c r="O24">
        <v>0.1358612745894405</v>
      </c>
      <c r="P24">
        <v>0.13586130710093922</v>
      </c>
      <c r="Q24">
        <v>0.93838640158053921</v>
      </c>
      <c r="R24">
        <v>9.3841145613668756E-2</v>
      </c>
      <c r="S24">
        <v>9.3841178267355149E-2</v>
      </c>
      <c r="T24">
        <v>0.72075201027388081</v>
      </c>
      <c r="U24">
        <v>7.1847866281997241E-2</v>
      </c>
      <c r="V24">
        <v>7.1847898974170113E-2</v>
      </c>
      <c r="W24">
        <v>0.60658664520363725</v>
      </c>
      <c r="X24">
        <v>6.0415289805722576E-2</v>
      </c>
      <c r="Y24">
        <v>6.0415322508250463E-2</v>
      </c>
      <c r="Z24">
        <v>0.54717234293924988</v>
      </c>
      <c r="AA24">
        <v>5.4485078485313615E-2</v>
      </c>
      <c r="AB24">
        <v>5.4485111190623346E-2</v>
      </c>
      <c r="AC24">
        <v>0.51633501470432575</v>
      </c>
      <c r="AD24">
        <v>5.1411231959580285E-2</v>
      </c>
      <c r="AE24">
        <v>5.141126466563721E-2</v>
      </c>
      <c r="AF24">
        <v>0.50034594811475419</v>
      </c>
      <c r="AG24">
        <v>4.9818376458672771E-2</v>
      </c>
      <c r="AH24">
        <v>4.9818409164930473E-2</v>
      </c>
      <c r="AI24">
        <v>0.49205914788067029</v>
      </c>
      <c r="AJ24">
        <v>4.899305791571977E-2</v>
      </c>
      <c r="AK24">
        <v>4.8993090622031492E-2</v>
      </c>
      <c r="AL24">
        <v>0.4877650878020301</v>
      </c>
      <c r="AM24">
        <v>4.8565451030717882E-2</v>
      </c>
      <c r="AN24">
        <v>4.8565483737044161E-2</v>
      </c>
      <c r="AO24">
        <v>0.48554019104726931</v>
      </c>
      <c r="AP24">
        <v>4.8343908467483106E-2</v>
      </c>
      <c r="AQ24">
        <v>4.8343941173813298E-2</v>
      </c>
      <c r="AR24">
        <v>0.48438744931569455</v>
      </c>
      <c r="AS24">
        <v>4.8229128947321218E-2</v>
      </c>
      <c r="AT24">
        <v>4.8229161653652493E-2</v>
      </c>
      <c r="AU24">
        <v>0.48379021568917174</v>
      </c>
      <c r="AV24">
        <v>4.8169662913720782E-2</v>
      </c>
      <c r="AW24">
        <v>4.8169695620052355E-2</v>
      </c>
      <c r="AX24">
        <v>0.48348079352910067</v>
      </c>
      <c r="AY24">
        <v>4.8138854298593547E-2</v>
      </c>
      <c r="AZ24">
        <v>4.8138887004925211E-2</v>
      </c>
      <c r="BA24">
        <v>0.48332048524608173</v>
      </c>
      <c r="BB24">
        <v>4.8122892762635726E-2</v>
      </c>
      <c r="BC24">
        <v>4.812292546896739E-2</v>
      </c>
      <c r="BD24">
        <v>0.48323743151205711</v>
      </c>
      <c r="BE24">
        <v>4.8114623308890998E-2</v>
      </c>
      <c r="BF24">
        <v>4.8114656015222676E-2</v>
      </c>
      <c r="BG24">
        <v>0.48319440247123191</v>
      </c>
      <c r="BH24">
        <v>4.8110339019714142E-2</v>
      </c>
      <c r="BI24">
        <v>4.811037172604582E-2</v>
      </c>
      <c r="BJ24">
        <v>0.48317210971297592</v>
      </c>
      <c r="BK24">
        <v>4.8108119389467525E-2</v>
      </c>
      <c r="BL24">
        <v>4.810815209579921E-2</v>
      </c>
      <c r="BM24">
        <v>0.48316056014442599</v>
      </c>
      <c r="BN24">
        <v>4.810696943024239E-2</v>
      </c>
      <c r="BO24">
        <v>4.8107002136574047E-2</v>
      </c>
      <c r="BP24">
        <v>0.48315457647464288</v>
      </c>
      <c r="BQ24">
        <v>4.8106373652570651E-2</v>
      </c>
      <c r="BR24">
        <v>4.8106406358902329E-2</v>
      </c>
      <c r="BS24">
        <v>0.48315147641945244</v>
      </c>
      <c r="BT24">
        <v>4.8106064988562958E-2</v>
      </c>
      <c r="BU24">
        <v>4.8106097694894649E-2</v>
      </c>
      <c r="BV24">
        <v>0.48314987032453738</v>
      </c>
      <c r="BW24">
        <v>4.8105905074097122E-2</v>
      </c>
      <c r="BX24">
        <v>4.8105937780428806E-2</v>
      </c>
      <c r="BY24">
        <v>0.48314903822941813</v>
      </c>
      <c r="BZ24">
        <v>4.8105822224670219E-2</v>
      </c>
      <c r="CA24">
        <v>4.8105854931001897E-2</v>
      </c>
      <c r="CB24">
        <v>0.48314860713268087</v>
      </c>
      <c r="CC24">
        <v>4.8105779301551986E-2</v>
      </c>
      <c r="CD24">
        <v>4.8105812007883678E-2</v>
      </c>
      <c r="CE24">
        <v>0.48314838378754732</v>
      </c>
      <c r="CF24">
        <v>4.8105757063690552E-2</v>
      </c>
      <c r="CG24">
        <v>4.8105789770022257E-2</v>
      </c>
      <c r="CH24">
        <v>0.48314826807558803</v>
      </c>
      <c r="CI24">
        <v>4.8105745542568669E-2</v>
      </c>
      <c r="CJ24">
        <v>4.8105778248900347E-2</v>
      </c>
      <c r="CK24">
        <v>0.48314820812685599</v>
      </c>
    </row>
    <row r="25" spans="1:89" x14ac:dyDescent="0.65">
      <c r="H25">
        <f>SQRT(SUMPRODUCT(H20:H24,H20:H24))</f>
        <v>1.9170889953872521</v>
      </c>
      <c r="K25">
        <f>SQRT(SUMPRODUCT(K20:K24,K20:K24))</f>
        <v>9.5036620034528987</v>
      </c>
      <c r="N25">
        <f>SQRT(SUMPRODUCT(N20:N24,N20:N24))</f>
        <v>9.884740971539717</v>
      </c>
      <c r="Q25">
        <f>SQRT(SUMPRODUCT(Q20:Q24,Q20:Q24))</f>
        <v>9.9997330109731237</v>
      </c>
      <c r="T25">
        <f>SQRT(SUMPRODUCT(T20:T24,T20:T24))</f>
        <v>10.031641126891447</v>
      </c>
      <c r="W25">
        <f>SQRT(SUMPRODUCT(W20:W24,W20:W24))</f>
        <v>10.040283629429531</v>
      </c>
      <c r="Z25">
        <f>SQRT(SUMPRODUCT(Z20:Z24,Z20:Z24))</f>
        <v>10.042609061979043</v>
      </c>
      <c r="AC25">
        <f>SQRT(SUMPRODUCT(AC20:AC24,AC20:AC24))</f>
        <v>10.043233648053219</v>
      </c>
      <c r="AF25">
        <f>SQRT(SUMPRODUCT(AF20:AF24,AF20:AF24))</f>
        <v>10.043401324605995</v>
      </c>
      <c r="AI25">
        <f>SQRT(SUMPRODUCT(AI20:AI24,AI20:AI24))</f>
        <v>10.043446333297551</v>
      </c>
      <c r="AL25">
        <f>SQRT(SUMPRODUCT(AL20:AL24,AL20:AL24))</f>
        <v>10.043458414367784</v>
      </c>
      <c r="AO25">
        <f>SQRT(SUMPRODUCT(AO20:AO24,AO20:AO24))</f>
        <v>10.043461657094843</v>
      </c>
      <c r="AR25">
        <f>SQRT(SUMPRODUCT(AR20:AR24,AR20:AR24))</f>
        <v>10.04346252748566</v>
      </c>
      <c r="AU25">
        <f>SQRT(SUMPRODUCT(AU20:AU24,AU20:AU24))</f>
        <v>10.043462761109909</v>
      </c>
      <c r="AX25">
        <f>SQRT(SUMPRODUCT(AX20:AX24,AX20:AX24))</f>
        <v>10.04346282381769</v>
      </c>
      <c r="BA25">
        <f>SQRT(SUMPRODUCT(BA20:BA24,BA20:BA24))</f>
        <v>10.043462840649273</v>
      </c>
      <c r="BD25">
        <f>SQRT(SUMPRODUCT(BD20:BD24,BD20:BD24))</f>
        <v>10.043462845167088</v>
      </c>
      <c r="BG25">
        <f>SQRT(SUMPRODUCT(BG20:BG24,BG20:BG24))</f>
        <v>10.043462846379729</v>
      </c>
      <c r="BJ25">
        <f>SQRT(SUMPRODUCT(BJ20:BJ24,BJ20:BJ24))</f>
        <v>10.043462846705216</v>
      </c>
      <c r="BM25">
        <f>SQRT(SUMPRODUCT(BM20:BM24,BM20:BM24))</f>
        <v>10.043462846792583</v>
      </c>
      <c r="BP25">
        <f>SQRT(SUMPRODUCT(BP20:BP24,BP20:BP24))</f>
        <v>10.043462846816031</v>
      </c>
      <c r="BS25">
        <f>SQRT(SUMPRODUCT(BS20:BS24,BS20:BS24))</f>
        <v>10.043462846822328</v>
      </c>
      <c r="BV25">
        <f>SQRT(SUMPRODUCT(BV20:BV24,BV20:BV24))</f>
        <v>10.043462846824017</v>
      </c>
      <c r="BY25">
        <f>SQRT(SUMPRODUCT(BY20:BY24,BY20:BY24))</f>
        <v>10.043462846824468</v>
      </c>
      <c r="CB25">
        <f>SQRT(SUMPRODUCT(CB20:CB24,CB20:CB24))</f>
        <v>10.043462846824593</v>
      </c>
      <c r="CE25">
        <f>SQRT(SUMPRODUCT(CE20:CE24,CE20:CE24))</f>
        <v>10.043462846824625</v>
      </c>
      <c r="CH25">
        <f>SQRT(SUMPRODUCT(CH20:CH24,CH20:CH24))</f>
        <v>10.043462846824632</v>
      </c>
      <c r="CK25">
        <f>SQRT(SUMPRODUCT(CK20:CK24,CK20:CK24))</f>
        <v>10.043462846824635</v>
      </c>
    </row>
    <row r="27" spans="1:89" x14ac:dyDescent="0.65">
      <c r="H27">
        <f>SUMPRODUCT(H20:H24,$AM7:$AM11)</f>
        <v>-7.0175018780649356E-7</v>
      </c>
      <c r="I27">
        <f>SUMPRODUCT(I20:I24,$AM7:$AM11)</f>
        <v>-3.6604987539365363E-7</v>
      </c>
      <c r="J27">
        <f>SUMPRODUCT(J20:J24,$AM7:$AM11)</f>
        <v>1.0408340855860843E-17</v>
      </c>
      <c r="K27">
        <f>SUMPRODUCT(K20:K24,$AM7:$AM11)</f>
        <v>-3.6764131879640782E-6</v>
      </c>
      <c r="L27">
        <f>SUMPRODUCT(L20:L24,$AM7:$AM11)</f>
        <v>-3.8684174444650332E-7</v>
      </c>
      <c r="M27">
        <f>SUMPRODUCT(M20:M24,$AM7:$AM11)</f>
        <v>-2.4286128663675299E-17</v>
      </c>
      <c r="N27">
        <f>SUMPRODUCT(N20:N24,$AM7:$AM11)</f>
        <v>-3.8852333491962154E-6</v>
      </c>
      <c r="O27">
        <f>SUMPRODUCT(O20:O24,$AM7:$AM11)</f>
        <v>-3.9305363291018691E-7</v>
      </c>
      <c r="P27">
        <f>SUMPRODUCT(P20:P24,$AM7:$AM11)</f>
        <v>-1.3183898417423734E-16</v>
      </c>
      <c r="Q27">
        <f>SUMPRODUCT(Q20:Q24,$AM7:$AM11)</f>
        <v>-3.9476209628269698E-6</v>
      </c>
      <c r="R27">
        <f>SUMPRODUCT(R20:R24,$AM7:$AM11)</f>
        <v>-3.947726363948828E-7</v>
      </c>
      <c r="S27">
        <f>SUMPRODUCT(S20:S24,$AM7:$AM11)</f>
        <v>5.8113236445223038E-17</v>
      </c>
      <c r="T27">
        <f>SUMPRODUCT(T20:T24,$AM7:$AM11)</f>
        <v>-3.9648850299195404E-6</v>
      </c>
      <c r="U27">
        <f>SUMPRODUCT(U20:U24,$AM7:$AM11)</f>
        <v>-3.9523792562650567E-7</v>
      </c>
      <c r="V27">
        <f>SUMPRODUCT(V20:V24,$AM7:$AM11)</f>
        <v>-1.5612511283791264E-17</v>
      </c>
      <c r="W27">
        <f>SUMPRODUCT(W20:W24,$AM7:$AM11)</f>
        <v>-3.9695578056900271E-6</v>
      </c>
      <c r="X27">
        <f>SUMPRODUCT(X20:X24,$AM7:$AM11)</f>
        <v>-3.953631144155284E-7</v>
      </c>
      <c r="Y27">
        <f>SUMPRODUCT(Y20:Y24,$AM7:$AM11)</f>
        <v>6.2450045135165055E-17</v>
      </c>
      <c r="Z27">
        <f>SUMPRODUCT(Z20:Z24,$AM7:$AM11)</f>
        <v>-3.970814944131984E-6</v>
      </c>
      <c r="AA27">
        <f>SUMPRODUCT(AA20:AA24,$AM7:$AM11)</f>
        <v>-3.9539674605380132E-7</v>
      </c>
      <c r="AB27">
        <f>SUMPRODUCT(AB20:AB24,$AM7:$AM11)</f>
        <v>7.0256300777060687E-17</v>
      </c>
      <c r="AC27">
        <f>SUMPRODUCT(AC20:AC24,$AM7:$AM11)</f>
        <v>-3.971152627409158E-6</v>
      </c>
      <c r="AD27">
        <f>SUMPRODUCT(AD20:AD24,$AM7:$AM11)</f>
        <v>-3.9540577936088978E-7</v>
      </c>
      <c r="AE27">
        <f>SUMPRODUCT(AE20:AE24,$AM7:$AM11)</f>
        <v>7.1991024253037494E-17</v>
      </c>
      <c r="AF27">
        <f>SUMPRODUCT(AF20:AF24,$AM7:$AM11)</f>
        <v>-3.9712433068592179E-6</v>
      </c>
      <c r="AG27">
        <f>SUMPRODUCT(AG20:AG24,$AM7:$AM11)</f>
        <v>-3.9540820666317256E-7</v>
      </c>
      <c r="AH27">
        <f>SUMPRODUCT(AH20:AH24,$AM7:$AM11)</f>
        <v>-3.7296554733501353E-17</v>
      </c>
      <c r="AI27">
        <f>SUMPRODUCT(AI20:AI24,$AM7:$AM11)</f>
        <v>-3.9712676633066324E-6</v>
      </c>
      <c r="AJ27">
        <f>SUMPRODUCT(AJ20:AJ24,$AM7:$AM11)</f>
        <v>-3.9540885975273415E-7</v>
      </c>
      <c r="AK27">
        <f>SUMPRODUCT(AK20:AK24,$AM7:$AM11)</f>
        <v>-2.6020852139652106E-17</v>
      </c>
      <c r="AL27">
        <f>SUMPRODUCT(AL20:AL24,$AM7:$AM11)</f>
        <v>-3.9712742082934072E-6</v>
      </c>
      <c r="AM27">
        <f>SUMPRODUCT(AM20:AM24,$AM7:$AM11)</f>
        <v>-3.9540903576818637E-7</v>
      </c>
      <c r="AN27">
        <f>SUMPRODUCT(AN20:AN24,$AM7:$AM11)</f>
        <v>-3.4694469519536142E-18</v>
      </c>
      <c r="AO27">
        <f>SUMPRODUCT(AO20:AO24,$AM7:$AM11)</f>
        <v>-3.9712759652976715E-6</v>
      </c>
      <c r="AP27">
        <f>SUMPRODUCT(AP20:AP24,$AM7:$AM11)</f>
        <v>-3.9540908307409556E-7</v>
      </c>
      <c r="AQ27">
        <f>SUMPRODUCT(AQ20:AQ24,$AM7:$AM11)</f>
        <v>-5.2041704279304213E-17</v>
      </c>
      <c r="AR27">
        <f>SUMPRODUCT(AR20:AR24,$AM7:$AM11)</f>
        <v>-3.9712764410559931E-6</v>
      </c>
      <c r="AS27">
        <f>SUMPRODUCT(AS20:AS24,$AM7:$AM11)</f>
        <v>-3.9540909616865572E-7</v>
      </c>
      <c r="AT27">
        <f>SUMPRODUCT(AT20:AT24,$AM7:$AM11)</f>
        <v>-1.214306433183765E-17</v>
      </c>
      <c r="AU27">
        <f>SUMPRODUCT(AU20:AU24,$AM7:$AM11)</f>
        <v>-3.9712765689467466E-6</v>
      </c>
      <c r="AV27">
        <f>SUMPRODUCT(AV20:AV24,$AM7:$AM11)</f>
        <v>-3.9540909976733957E-7</v>
      </c>
      <c r="AW27">
        <f>SUMPRODUCT(AW20:AW24,$AM7:$AM11)</f>
        <v>-6.0715321659188248E-17</v>
      </c>
      <c r="AX27">
        <f>SUMPRODUCT(AX20:AX24,$AM7:$AM11)</f>
        <v>-3.9712766057020676E-6</v>
      </c>
      <c r="AY27">
        <f>SUMPRODUCT(AY20:AY24,$AM7:$AM11)</f>
        <v>-3.9540910088623621E-7</v>
      </c>
      <c r="AZ27">
        <f>SUMPRODUCT(AZ20:AZ24,$AM7:$AM11)</f>
        <v>7.8062556418956319E-18</v>
      </c>
      <c r="BA27">
        <f>SUMPRODUCT(BA20:BA24,$AM7:$AM11)</f>
        <v>-3.9712766115793108E-6</v>
      </c>
      <c r="BB27">
        <f>SUMPRODUCT(BB20:BB24,$AM7:$AM11)</f>
        <v>-3.9540910084026604E-7</v>
      </c>
      <c r="BC27">
        <f>SUMPRODUCT(BC20:BC24,$AM7:$AM11)</f>
        <v>-1.7347234759768071E-18</v>
      </c>
      <c r="BD27">
        <f>SUMPRODUCT(BD20:BD24,$AM7:$AM11)</f>
        <v>-3.9712766139246569E-6</v>
      </c>
      <c r="BE27">
        <f>SUMPRODUCT(BE20:BE24,$AM7:$AM11)</f>
        <v>-3.9540910104496341E-7</v>
      </c>
      <c r="BF27">
        <f>SUMPRODUCT(BF20:BF24,$AM7:$AM11)</f>
        <v>4.4235448637408581E-17</v>
      </c>
      <c r="BG27">
        <f>SUMPRODUCT(BG20:BG24,$AM7:$AM11)</f>
        <v>-3.9712766149169187E-6</v>
      </c>
      <c r="BH27">
        <f>SUMPRODUCT(BH20:BH24,$AM7:$AM11)</f>
        <v>-3.9540910107705579E-7</v>
      </c>
      <c r="BI27">
        <f>SUMPRODUCT(BI20:BI24,$AM7:$AM11)</f>
        <v>2.6020852139652106E-17</v>
      </c>
      <c r="BJ27">
        <f>SUMPRODUCT(BJ20:BJ24,$AM7:$AM11)</f>
        <v>-3.9712766159022417E-6</v>
      </c>
      <c r="BK27">
        <f>SUMPRODUCT(BK20:BK24,$AM7:$AM11)</f>
        <v>-3.9540910111261762E-7</v>
      </c>
      <c r="BL27">
        <f>SUMPRODUCT(BL20:BL24,$AM7:$AM11)</f>
        <v>1.1622647289044608E-16</v>
      </c>
      <c r="BM27">
        <f>SUMPRODUCT(BM20:BM24,$AM7:$AM11)</f>
        <v>-3.9712766121344223E-6</v>
      </c>
      <c r="BN27">
        <f>SUMPRODUCT(BN20:BN24,$AM7:$AM11)</f>
        <v>-3.954091007596014E-7</v>
      </c>
      <c r="BO27">
        <f>SUMPRODUCT(BO20:BO24,$AM7:$AM11)</f>
        <v>8.6736173798840355E-18</v>
      </c>
      <c r="BP27">
        <f>SUMPRODUCT(BP20:BP24,$AM7:$AM11)</f>
        <v>-3.9712766165475588E-6</v>
      </c>
      <c r="BQ27">
        <f>SUMPRODUCT(BQ20:BQ24,$AM7:$AM11)</f>
        <v>-3.9540910106057592E-7</v>
      </c>
      <c r="BR27">
        <f>SUMPRODUCT(BR20:BR24,$AM7:$AM11)</f>
        <v>-2.688821387764051E-17</v>
      </c>
      <c r="BS27">
        <f>SUMPRODUCT(BS20:BS24,$AM7:$AM11)</f>
        <v>-3.9712766176785985E-6</v>
      </c>
      <c r="BT27">
        <f>SUMPRODUCT(BT20:BT24,$AM7:$AM11)</f>
        <v>-3.9540910123665035E-7</v>
      </c>
      <c r="BU27">
        <f>SUMPRODUCT(BU20:BU24,$AM7:$AM11)</f>
        <v>6.0715321659188248E-18</v>
      </c>
      <c r="BV27">
        <f>SUMPRODUCT(BV20:BV24,$AM7:$AM11)</f>
        <v>-3.9712766158259138E-6</v>
      </c>
      <c r="BW27">
        <f>SUMPRODUCT(BW20:BW24,$AM7:$AM11)</f>
        <v>-3.9540910114471001E-7</v>
      </c>
      <c r="BX27">
        <f>SUMPRODUCT(BX20:BX24,$AM7:$AM11)</f>
        <v>8.3266726846886741E-17</v>
      </c>
      <c r="BY27">
        <f>SUMPRODUCT(BY20:BY24,$AM7:$AM11)</f>
        <v>-3.971276615617747E-6</v>
      </c>
      <c r="BZ27">
        <f>SUMPRODUCT(BZ20:BZ24,$AM7:$AM11)</f>
        <v>-3.9540910099899323E-7</v>
      </c>
      <c r="CA27">
        <f>SUMPRODUCT(CA20:CA24,$AM7:$AM11)</f>
        <v>-2.0816681711721685E-17</v>
      </c>
      <c r="CB27">
        <f>SUMPRODUCT(CB20:CB24,$AM7:$AM11)</f>
        <v>-3.971276618559838E-6</v>
      </c>
      <c r="CC27">
        <f>SUMPRODUCT(CC20:CC24,$AM7:$AM11)</f>
        <v>-3.9540910123838507E-7</v>
      </c>
      <c r="CD27">
        <f>SUMPRODUCT(CD20:CD24,$AM7:$AM11)</f>
        <v>-5.1174342541315809E-17</v>
      </c>
      <c r="CE27">
        <f>SUMPRODUCT(CE20:CE24,$AM7:$AM11)</f>
        <v>-3.9712766190941329E-6</v>
      </c>
      <c r="CF27">
        <f>SUMPRODUCT(CF20:CF24,$AM7:$AM11)</f>
        <v>-3.9540910137542823E-7</v>
      </c>
      <c r="CG27">
        <f>SUMPRODUCT(CG20:CG24,$AM7:$AM11)</f>
        <v>-6.0715321659188248E-18</v>
      </c>
      <c r="CH27">
        <f>SUMPRODUCT(CH20:CH24,$AM7:$AM11)</f>
        <v>-3.9712766142369071E-6</v>
      </c>
      <c r="CI27">
        <f>SUMPRODUCT(CI20:CI24,$AM7:$AM11)</f>
        <v>-3.9540910102588145E-7</v>
      </c>
      <c r="CJ27">
        <f>SUMPRODUCT(CJ20:CJ24,$AM7:$AM11)</f>
        <v>-4.7704895589362195E-17</v>
      </c>
      <c r="CK27">
        <f>SUMPRODUCT(CK20:CK24,$AM7:$AM11)</f>
        <v>-3.9712766166447033E-6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王先生</dc:creator>
  <cp:lastModifiedBy>王先生</cp:lastModifiedBy>
  <dcterms:created xsi:type="dcterms:W3CDTF">2024-12-15T22:46:37Z</dcterms:created>
  <dcterms:modified xsi:type="dcterms:W3CDTF">2024-12-15T23:23:39Z</dcterms:modified>
</cp:coreProperties>
</file>